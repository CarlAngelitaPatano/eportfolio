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hase A" sheetId="2" state="visible" r:id="rId4"/>
    <sheet name="Phase B" sheetId="3" state="visible" r:id="rId5"/>
    <sheet name="Step 5" sheetId="4" state="visible" r:id="rId6"/>
    <sheet name="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<sst xmlns="http://schemas.openxmlformats.org/spreadsheetml/2006/main" count="529" uniqueCount="198">
  <si>
    <t xml:space="preserve">Exercise PT-P1 - Performance Computations</t>
  </si>
  <si>
    <t xml:space="preserve">Student</t>
  </si>
  <si>
    <t xml:space="preserve">Carl Angelo Patano</t>
  </si>
  <si>
    <t xml:space="preserve">Project name</t>
  </si>
  <si>
    <t xml:space="preserve">Exercise PTP1 - Patano</t>
  </si>
  <si>
    <t xml:space="preserve">Course</t>
  </si>
  <si>
    <t xml:space="preserve">ITC-C508</t>
  </si>
  <si>
    <t xml:space="preserve">Exercise</t>
  </si>
  <si>
    <t xml:space="preserve">PT-P1: Deep Learning (Neural Networks) - No-Code Text Classification</t>
  </si>
  <si>
    <t xml:space="preserve">Domain</t>
  </si>
  <si>
    <t xml:space="preserve">Telecommunications customer support</t>
  </si>
  <si>
    <t xml:space="preserve">System</t>
  </si>
  <si>
    <t xml:space="preserve">Telecom Customer Support Feedback Classifier</t>
  </si>
  <si>
    <t xml:space="preserve">Business justification</t>
  </si>
  <si>
    <t xml:space="preserve">Complaint and urgent-support volume acts as an early churn-risk signal; automated intent triage routes at-risk subscribers to retention before attrition.</t>
  </si>
  <si>
    <t xml:space="preserve">Platform</t>
  </si>
  <si>
    <t xml:space="preserve">Machine Learning for Kids (machinelearningforkids.co.uk) - Recognising text</t>
  </si>
  <si>
    <t xml:space="preserve">Classes</t>
  </si>
  <si>
    <t xml:space="preserve">Positive_Praise | Negative_Complaint | Urgent_Support</t>
  </si>
  <si>
    <t xml:space="preserve">Test set size</t>
  </si>
  <si>
    <t xml:space="preserve">12 held-out phrases (11 scored, 1 out-of-vocabulary probe)</t>
  </si>
  <si>
    <t xml:space="preserve">Date of experiment</t>
  </si>
  <si>
    <t xml:space="preserve">July 27, 2026</t>
  </si>
  <si>
    <t xml:space="preserve">EXPERIMENTAL DESIGN - THREE CONTROLLED RUNS</t>
  </si>
  <si>
    <t xml:space="preserve">Run</t>
  </si>
  <si>
    <t xml:space="preserve">Training split (P/N/U)</t>
  </si>
  <si>
    <t xml:space="preserve">Total examples</t>
  </si>
  <si>
    <t xml:space="preserve">What changed</t>
  </si>
  <si>
    <t xml:space="preserve">Purpose</t>
  </si>
  <si>
    <t xml:space="preserve">Phase A</t>
  </si>
  <si>
    <t xml:space="preserve">5 / 5 / 5</t>
  </si>
  <si>
    <t xml:space="preserve">Platform minimum</t>
  </si>
  <si>
    <t xml:space="preserve">Baseline. Establishes failure modes.</t>
  </si>
  <si>
    <t xml:space="preserve">Phase B</t>
  </si>
  <si>
    <t xml:space="preserve">10 / 10 / 10</t>
  </si>
  <si>
    <t xml:space="preserve">Dataset doubled with ordinary domain sentences</t>
  </si>
  <si>
    <t xml:space="preserve">Isolates the effect of data VOLUME alone.</t>
  </si>
  <si>
    <t xml:space="preserve">Step 5</t>
  </si>
  <si>
    <t xml:space="preserve">12 / 15 / 13</t>
  </si>
  <si>
    <t xml:space="preserve">10 failure-targeted examples (negation, sarcasm, urgency)</t>
  </si>
  <si>
    <t xml:space="preserve">Isolates the effect of data REPRESENTATIVENESS.</t>
  </si>
  <si>
    <t xml:space="preserve">The same 12 test phrases were used in all three runs, and none of them appears in any training set. This keeps the three runs directly comparable.</t>
  </si>
  <si>
    <t xml:space="preserve">HEADLINE RESULT</t>
  </si>
  <si>
    <t xml:space="preserve">Phase A accuracy</t>
  </si>
  <si>
    <t xml:space="preserve">Phase B accuracy</t>
  </si>
  <si>
    <t xml:space="preserve">Step 5 accuracy</t>
  </si>
  <si>
    <t xml:space="preserve">Phase A - Baseline</t>
  </si>
  <si>
    <t xml:space="preserve">Training split (Pos/Neg/Urg): 5 / 5 / 5   |   Total training examples: 15   |   Model trained: Mon, July 27, 2026 8:09 PM</t>
  </si>
  <si>
    <t xml:space="preserve">1. TEST SET RESULTS</t>
  </si>
  <si>
    <t xml:space="preserve">Test ID</t>
  </si>
  <si>
    <t xml:space="preserve">Test Phrase</t>
  </si>
  <si>
    <t xml:space="preserve">Test Case Type</t>
  </si>
  <si>
    <t xml:space="preserve">Expected Class</t>
  </si>
  <si>
    <t xml:space="preserve">Predicted Class</t>
  </si>
  <si>
    <t xml:space="preserve">Confidence (%)</t>
  </si>
  <si>
    <t xml:space="preserve">Correct (1/0)</t>
  </si>
  <si>
    <t xml:space="preserve">T01</t>
  </si>
  <si>
    <t xml:space="preserve">The new router works perfectly, no complaints at all.</t>
  </si>
  <si>
    <t xml:space="preserve">A - Clear pattern</t>
  </si>
  <si>
    <t xml:space="preserve">Positive_Praise</t>
  </si>
  <si>
    <t xml:space="preserve">T02</t>
  </si>
  <si>
    <t xml:space="preserve">Very happy with how fast my concern was handled.</t>
  </si>
  <si>
    <t xml:space="preserve">T03</t>
  </si>
  <si>
    <t xml:space="preserve">Excellent coverage even in the province, well done.</t>
  </si>
  <si>
    <t xml:space="preserve">T04</t>
  </si>
  <si>
    <t xml:space="preserve">The connection drops every single evening without fail.</t>
  </si>
  <si>
    <t xml:space="preserve">Negative_Complaint</t>
  </si>
  <si>
    <t xml:space="preserve">T05</t>
  </si>
  <si>
    <t xml:space="preserve">I am not satisfied with the quality of service lately.</t>
  </si>
  <si>
    <t xml:space="preserve">B - Negation</t>
  </si>
  <si>
    <t xml:space="preserve">T06</t>
  </si>
  <si>
    <t xml:space="preserve">Support ticket has been open for a month with no update.</t>
  </si>
  <si>
    <t xml:space="preserve">T07</t>
  </si>
  <si>
    <t xml:space="preserve">No signal at all and I have a client presentation in ten minutes.</t>
  </si>
  <si>
    <t xml:space="preserve">B - Boundary overlap</t>
  </si>
  <si>
    <t xml:space="preserve">Urgent_Support</t>
  </si>
  <si>
    <t xml:space="preserve">T08</t>
  </si>
  <si>
    <t xml:space="preserve">Immediate help needed, my landline is completely dead.</t>
  </si>
  <si>
    <t xml:space="preserve">T09</t>
  </si>
  <si>
    <t xml:space="preserve">Please restore my service now, I have already paid in full.</t>
  </si>
  <si>
    <t xml:space="preserve">T10</t>
  </si>
  <si>
    <t xml:space="preserve">Oh wonderful, another outage right when I need the internet most.</t>
  </si>
  <si>
    <t xml:space="preserve">B - Sarcasm</t>
  </si>
  <si>
    <t xml:space="preserve">T11</t>
  </si>
  <si>
    <t xml:space="preserve">Fantastic, my bill went up again for absolutely no reason.</t>
  </si>
  <si>
    <t xml:space="preserve">T12</t>
  </si>
  <si>
    <t xml:space="preserve">Can I update the email address on my account?</t>
  </si>
  <si>
    <t xml:space="preserve">C - Out-of-vocabulary</t>
  </si>
  <si>
    <t xml:space="preserve">N/A</t>
  </si>
  <si>
    <t xml:space="preserve">Note: T12 has no correct class by design (no administrative-inquiry label exists). It is excluded from all accuracy computations and used only as an out-of-vocabulary confidence probe.</t>
  </si>
  <si>
    <t xml:space="preserve">2. OVERALL ACCURACY</t>
  </si>
  <si>
    <t xml:space="preserve">Evaluated test cases (T12 excluded)</t>
  </si>
  <si>
    <t xml:space="preserve">Correct predictions</t>
  </si>
  <si>
    <t xml:space="preserve">Incorrect predictions</t>
  </si>
  <si>
    <t xml:space="preserve">Overall Accuracy</t>
  </si>
  <si>
    <t xml:space="preserve">Accuracy = Correct predictions / Evaluated test cases</t>
  </si>
  <si>
    <t xml:space="preserve">3. CONFUSION MATRIX</t>
  </si>
  <si>
    <t xml:space="preserve">Rows = Actual class   |   Columns = Predicted class</t>
  </si>
  <si>
    <t xml:space="preserve">Actual \ Predicted</t>
  </si>
  <si>
    <t xml:space="preserve">Total Actual</t>
  </si>
  <si>
    <t xml:space="preserve">Total Predicted</t>
  </si>
  <si>
    <t xml:space="preserve">4. PER-CLASS PERFORMANCE METRICS</t>
  </si>
  <si>
    <t xml:space="preserve">Class</t>
  </si>
  <si>
    <t xml:space="preserve">TP</t>
  </si>
  <si>
    <t xml:space="preserve">FP</t>
  </si>
  <si>
    <t xml:space="preserve">FN</t>
  </si>
  <si>
    <t xml:space="preserve">Precision</t>
  </si>
  <si>
    <t xml:space="preserve">Recall</t>
  </si>
  <si>
    <t xml:space="preserve">F1-Score</t>
  </si>
  <si>
    <t xml:space="preserve">Macro Average</t>
  </si>
  <si>
    <t xml:space="preserve">Precision = TP/(TP+FP)   |   Recall = TP/(TP+FN)   |   F1 = 2*(Precision*Recall)/(Precision+Recall)</t>
  </si>
  <si>
    <t xml:space="preserve">5. CONFIDENCE ANALYSIS</t>
  </si>
  <si>
    <t xml:space="preserve">Mean confidence - correct predictions</t>
  </si>
  <si>
    <t xml:space="preserve">Mean confidence - incorrect predictions</t>
  </si>
  <si>
    <t xml:space="preserve">Confidence gap (correct minus incorrect)</t>
  </si>
  <si>
    <t xml:space="preserve">Mean confidence - all evaluated cases</t>
  </si>
  <si>
    <t xml:space="preserve">Out-of-vocabulary confidence (T12)</t>
  </si>
  <si>
    <t xml:space="preserve">A positive confidence gap means the model was systematically less certain when it was wrong - i.e. confidence carries a usable uncertainty signal.</t>
  </si>
  <si>
    <t xml:space="preserve">Dataset note:</t>
  </si>
  <si>
    <t xml:space="preserve">Platform-minimum dataset. Five examples per class is the lowest count Machine Learning for Kids permits for training.</t>
  </si>
  <si>
    <t xml:space="preserve">Phase B - Volume increase</t>
  </si>
  <si>
    <t xml:space="preserve">Training split (Pos/Neg/Urg): 10 / 10 / 10   |   Total training examples: 30   |   Model trained: Mon, July 27, 2026 8:58 PM</t>
  </si>
  <si>
    <t xml:space="preserve">Dataset doubled. Added examples were ordinary domain sentences only - no negation and no sarcasm - so this isolates the effect of raw data volume.</t>
  </si>
  <si>
    <t xml:space="preserve">Step 5 - Targeted refinement</t>
  </si>
  <si>
    <t xml:space="preserve">Training split (Pos/Neg/Urg): 12 / 15 / 13   |   Total training examples: 40   |   Model trained: Mon, July 27, 2026 9:18 PM</t>
  </si>
  <si>
    <t xml:space="preserve">Ten failure-targeted examples added: 3 negation, 2 sarcasm, 3 time-pressure urgency, 2 general praise. Tests whether representativeness beats volume.</t>
  </si>
  <si>
    <t xml:space="preserve">Three-Phase Comparison</t>
  </si>
  <si>
    <t xml:space="preserve">1. PER-TEST PREDICTION COMPARISON</t>
  </si>
  <si>
    <t xml:space="preserve">Outcome</t>
  </si>
  <si>
    <t xml:space="preserve">Pos 58%</t>
  </si>
  <si>
    <t xml:space="preserve">Pos 67%</t>
  </si>
  <si>
    <t xml:space="preserve">Correct throughout</t>
  </si>
  <si>
    <t xml:space="preserve">Pos 83%</t>
  </si>
  <si>
    <t xml:space="preserve">Pos 97%</t>
  </si>
  <si>
    <t xml:space="preserve">Pos 89%</t>
  </si>
  <si>
    <t xml:space="preserve">Pos 96%</t>
  </si>
  <si>
    <t xml:space="preserve">Neg 74%</t>
  </si>
  <si>
    <t xml:space="preserve">Neg 75%</t>
  </si>
  <si>
    <t xml:space="preserve">Neg 92%</t>
  </si>
  <si>
    <t xml:space="preserve">Pos 51%</t>
  </si>
  <si>
    <t xml:space="preserve">FIXED by refinement</t>
  </si>
  <si>
    <t xml:space="preserve">Neg 36%</t>
  </si>
  <si>
    <t xml:space="preserve">Neg 65%</t>
  </si>
  <si>
    <t xml:space="preserve">Neg 69%</t>
  </si>
  <si>
    <t xml:space="preserve">Neg 42%</t>
  </si>
  <si>
    <t xml:space="preserve">Neg 63%</t>
  </si>
  <si>
    <t xml:space="preserve">Urg 77%</t>
  </si>
  <si>
    <t xml:space="preserve">Urg 76%</t>
  </si>
  <si>
    <t xml:space="preserve">Urg 89%</t>
  </si>
  <si>
    <t xml:space="preserve">Urg 91%</t>
  </si>
  <si>
    <t xml:space="preserve">Urg 71%</t>
  </si>
  <si>
    <t xml:space="preserve">Urg 88%</t>
  </si>
  <si>
    <t xml:space="preserve">Urg 47%</t>
  </si>
  <si>
    <t xml:space="preserve">Urg 50%</t>
  </si>
  <si>
    <t xml:space="preserve">Wrong throughout - unresolved</t>
  </si>
  <si>
    <t xml:space="preserve">Urg 51%</t>
  </si>
  <si>
    <t xml:space="preserve">Neg 49%</t>
  </si>
  <si>
    <t xml:space="preserve">Neg 72%</t>
  </si>
  <si>
    <t xml:space="preserve">Fixed at Phase B, held</t>
  </si>
  <si>
    <t xml:space="preserve">Urg 6%</t>
  </si>
  <si>
    <t xml:space="preserve">Urg 5%</t>
  </si>
  <si>
    <t xml:space="preserve">Urg 3%</t>
  </si>
  <si>
    <t xml:space="preserve">OOV probe - confidence fell 6% &gt; 5% &gt; 3%</t>
  </si>
  <si>
    <t xml:space="preserve">2. AGGREGATE METRIC PROGRESSION</t>
  </si>
  <si>
    <t xml:space="preserve">Metric</t>
  </si>
  <si>
    <t xml:space="preserve">A to B change</t>
  </si>
  <si>
    <t xml:space="preserve">B to Step 5 change</t>
  </si>
  <si>
    <t xml:space="preserve">Training examples (total)</t>
  </si>
  <si>
    <t xml:space="preserve">Correct predictions (of 11)</t>
  </si>
  <si>
    <t xml:space="preserve">Macro Precision</t>
  </si>
  <si>
    <t xml:space="preserve">Macro Recall</t>
  </si>
  <si>
    <t xml:space="preserve">Macro F1-Score</t>
  </si>
  <si>
    <t xml:space="preserve">Mean confidence - correct</t>
  </si>
  <si>
    <t xml:space="preserve">Mean confidence - incorrect</t>
  </si>
  <si>
    <t xml:space="preserve">Mean confidence - all cases</t>
  </si>
  <si>
    <t xml:space="preserve">Out-of-vocabulary confidence</t>
  </si>
  <si>
    <t xml:space="preserve">3. TARGETED-FIX OUTCOMES</t>
  </si>
  <si>
    <t xml:space="preserve">Test</t>
  </si>
  <si>
    <t xml:space="preserve">Failure mode</t>
  </si>
  <si>
    <t xml:space="preserve">Fix applied in Step 5</t>
  </si>
  <si>
    <t xml:space="preserve">Resolved?</t>
  </si>
  <si>
    <t xml:space="preserve">Negation not represented ('not satisfied' read as praise)</t>
  </si>
  <si>
    <t xml:space="preserve">3 explicit negation examples added to Negative_Complaint</t>
  </si>
  <si>
    <t xml:space="preserve">YES</t>
  </si>
  <si>
    <t xml:space="preserve">Negative / Urgent boundary too weak; time pressure ignored</t>
  </si>
  <si>
    <t xml:space="preserve">3 time-pressure urgency examples added to Urgent_Support</t>
  </si>
  <si>
    <t xml:space="preserve">Sarcasm; 'outage' token dominates positive tone marker</t>
  </si>
  <si>
    <t xml:space="preserve">2 sarcastic examples added (dropped call, data depletion)</t>
  </si>
  <si>
    <t xml:space="preserve">NO</t>
  </si>
  <si>
    <t xml:space="preserve">Sarcasm; 'Fantastic' misread as praise</t>
  </si>
  <si>
    <t xml:space="preserve">2 sarcastic examples added; billing complaints reinforced</t>
  </si>
  <si>
    <t xml:space="preserve">4. KEY OBSERVATIONS</t>
  </si>
  <si>
    <t xml:space="preserve">1. Doubling the dataset (Phase A to Phase B) raised accuracy by roughly nine percentage points and lifted mean confidence, but it resolved none of the four linguistic failures.</t>
  </si>
  <si>
    <t xml:space="preserve">2. On T05 and T07 the extra volume made the model MORE confident while still wrong (51% to 58%, and 42% to 63%). Volume alone can entrench an error rather than correct it.</t>
  </si>
  <si>
    <t xml:space="preserve">3. Ten failure-targeted examples in Step 5 resolved three of the four failures and lifted accuracy far more than the fifteen untargeted examples added in Phase B.</t>
  </si>
  <si>
    <t xml:space="preserve">4. T10 stayed wrong at exactly 50% across all three runs. The sarcastic examples added concerned dropped calls and data depletion, while T10 concerns an outage - a token strongly bound to Urgent_Support. The fix did not cover the vocabulary that caused the error.</t>
  </si>
  <si>
    <t xml:space="preserve">5. Out-of-vocabulary confidence fell steadily (6% to 5% to 3%). As class boundaries sharpened, the model became more certain that this input belonged to none of them.</t>
  </si>
  <si>
    <t xml:space="preserve">6. In every run, mean confidence on incorrect predictions was lower than on correct ones, so a confidence threshold is a usable production safeguard for routing to a human agent.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</si>
</sst>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General"/>
    <numFmt numFmtId="167" formatCode="0.000"/>
    <numFmt numFmtId="168" formatCode="0.00"/>
    <numFmt numFmtId="169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C8A"/>
        <bgColor rgb="FF595959"/>
      </patternFill>
    </fill>
    <fill>
      <patternFill patternType="solid">
        <fgColor rgb="FFD9D9D9"/>
        <bgColor rgb="FFC6EFCE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44"/>
  </cols>
  <sheetData>
    <row r="1" customFormat="false" ht="25.5" hidden="false" customHeight="true" outlineLevel="0" collapsed="false">
      <c r="A1" s="1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</row>
    <row r="4" customFormat="false" ht="15" hidden="false" customHeight="true" outlineLevel="0" collapsed="false">
      <c r="A4" s="3" t="s">
        <v>3</v>
      </c>
      <c r="B4" s="4" t="s">
        <v>4</v>
      </c>
      <c r="C4" s="4"/>
      <c r="D4" s="4"/>
      <c r="E4" s="4"/>
    </row>
    <row r="5" customFormat="false" ht="15" hidden="false" customHeight="true" outlineLevel="0" collapsed="false">
      <c r="A5" s="3" t="s">
        <v>5</v>
      </c>
      <c r="B5" s="4" t="s">
        <v>6</v>
      </c>
      <c r="C5" s="4"/>
      <c r="D5" s="4"/>
      <c r="E5" s="4"/>
    </row>
    <row r="6" customFormat="false" ht="15" hidden="false" customHeight="true" outlineLevel="0" collapsed="false">
      <c r="A6" s="3" t="s">
        <v>7</v>
      </c>
      <c r="B6" s="4" t="s">
        <v>8</v>
      </c>
      <c r="C6" s="4"/>
      <c r="D6" s="4"/>
      <c r="E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</row>
    <row r="10" customFormat="false" ht="15" hidden="false" customHeight="true" outlineLevel="0" collapsed="false">
      <c r="A10" s="3" t="s">
        <v>15</v>
      </c>
      <c r="B10" s="4" t="s">
        <v>16</v>
      </c>
      <c r="C10" s="4"/>
      <c r="D10" s="4"/>
      <c r="E10" s="4"/>
    </row>
    <row r="11" customFormat="false" ht="15" hidden="false" customHeight="true" outlineLevel="0" collapsed="false">
      <c r="A11" s="3" t="s">
        <v>17</v>
      </c>
      <c r="B11" s="4" t="s">
        <v>18</v>
      </c>
      <c r="C11" s="4"/>
      <c r="D11" s="4"/>
      <c r="E11" s="4"/>
    </row>
    <row r="12" customFormat="false" ht="15" hidden="false" customHeight="true" outlineLevel="0" collapsed="false">
      <c r="A12" s="3" t="s">
        <v>19</v>
      </c>
      <c r="B12" s="4" t="s">
        <v>20</v>
      </c>
      <c r="C12" s="4"/>
      <c r="D12" s="4"/>
      <c r="E12" s="4"/>
    </row>
    <row r="13" customFormat="false" ht="15" hidden="false" customHeight="true" outlineLevel="0" collapsed="false">
      <c r="A13" s="3" t="s">
        <v>21</v>
      </c>
      <c r="B13" s="4" t="s">
        <v>22</v>
      </c>
      <c r="C13" s="4"/>
      <c r="D13" s="4"/>
      <c r="E13" s="4"/>
    </row>
    <row r="15" customFormat="false" ht="19.5" hidden="false" customHeight="true" outlineLevel="0" collapsed="false">
      <c r="A15" s="5" t="s">
        <v>23</v>
      </c>
      <c r="B15" s="6"/>
      <c r="C15" s="6"/>
      <c r="D15" s="6"/>
      <c r="E15" s="6"/>
    </row>
    <row r="16" customFormat="false" ht="15" hidden="false" customHeight="false" outlineLevel="0" collapsed="false">
      <c r="A16" s="7" t="s">
        <v>24</v>
      </c>
      <c r="B16" s="7" t="s">
        <v>25</v>
      </c>
      <c r="C16" s="7" t="s">
        <v>26</v>
      </c>
      <c r="D16" s="7" t="s">
        <v>27</v>
      </c>
      <c r="E16" s="7" t="s">
        <v>28</v>
      </c>
    </row>
    <row r="17" customFormat="false" ht="15" hidden="false" customHeight="false" outlineLevel="0" collapsed="false">
      <c r="A17" s="8" t="s">
        <v>29</v>
      </c>
      <c r="B17" s="8" t="s">
        <v>30</v>
      </c>
      <c r="C17" s="8" t="n">
        <v>15</v>
      </c>
      <c r="D17" s="4" t="s">
        <v>31</v>
      </c>
      <c r="E17" s="4" t="s">
        <v>32</v>
      </c>
    </row>
    <row r="18" customFormat="false" ht="15" hidden="false" customHeight="false" outlineLevel="0" collapsed="false">
      <c r="A18" s="8" t="s">
        <v>33</v>
      </c>
      <c r="B18" s="8" t="s">
        <v>34</v>
      </c>
      <c r="C18" s="8" t="n">
        <v>30</v>
      </c>
      <c r="D18" s="4" t="s">
        <v>35</v>
      </c>
      <c r="E18" s="4" t="s">
        <v>36</v>
      </c>
    </row>
    <row r="19" customFormat="false" ht="23.85" hidden="false" customHeight="false" outlineLevel="0" collapsed="false">
      <c r="A19" s="8" t="s">
        <v>37</v>
      </c>
      <c r="B19" s="8" t="s">
        <v>38</v>
      </c>
      <c r="C19" s="8" t="n">
        <v>40</v>
      </c>
      <c r="D19" s="4" t="s">
        <v>39</v>
      </c>
      <c r="E19" s="4" t="s">
        <v>40</v>
      </c>
    </row>
    <row r="21" customFormat="false" ht="15" hidden="false" customHeight="false" outlineLevel="0" collapsed="false">
      <c r="A21" s="9" t="s">
        <v>41</v>
      </c>
    </row>
    <row r="23" customFormat="false" ht="19.5" hidden="false" customHeight="true" outlineLevel="0" collapsed="false">
      <c r="A23" s="5" t="s">
        <v>42</v>
      </c>
      <c r="B23" s="6"/>
      <c r="C23" s="6"/>
      <c r="D23" s="6"/>
      <c r="E23" s="6"/>
    </row>
    <row r="24" customFormat="false" ht="15" hidden="false" customHeight="false" outlineLevel="0" collapsed="false">
      <c r="A24" s="10" t="s">
        <v>43</v>
      </c>
      <c r="B24" s="11" t="n">
        <f aca="false">'Phase A'!$B$23</f>
        <v>0.636363636363636</v>
      </c>
    </row>
    <row r="25" customFormat="false" ht="15" hidden="false" customHeight="false" outlineLevel="0" collapsed="false">
      <c r="A25" s="10" t="s">
        <v>44</v>
      </c>
      <c r="B25" s="11" t="n">
        <f aca="false">'Phase B'!$B$23</f>
        <v>0.727272727272727</v>
      </c>
    </row>
    <row r="26" customFormat="false" ht="15" hidden="false" customHeight="false" outlineLevel="0" collapsed="false">
      <c r="A26" s="10" t="s">
        <v>45</v>
      </c>
      <c r="B26" s="11" t="n">
        <f aca="false">'Step 5'!$B$23</f>
        <v>0.909090909090909</v>
      </c>
    </row>
  </sheetData>
  <mergeCells count="11"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  <col collapsed="false" customWidth="true" hidden="false" outlineLevel="0" max="5" min="3" style="0" width="2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24" hidden="false" customHeight="true" outlineLevel="0" collapsed="false">
      <c r="A1" s="1" t="s">
        <v>46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9" t="s">
        <v>47</v>
      </c>
    </row>
    <row r="3" customFormat="false" ht="19.5" hidden="false" customHeight="true" outlineLevel="0" collapsed="false">
      <c r="A3" s="5" t="s">
        <v>48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7" t="s">
        <v>49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</row>
    <row r="5" customFormat="false" ht="15" hidden="false" customHeight="false" outlineLevel="0" collapsed="false">
      <c r="A5" s="8" t="s">
        <v>56</v>
      </c>
      <c r="B5" s="4" t="s">
        <v>57</v>
      </c>
      <c r="C5" s="8" t="s">
        <v>58</v>
      </c>
      <c r="D5" s="8" t="s">
        <v>59</v>
      </c>
      <c r="E5" s="8" t="s">
        <v>59</v>
      </c>
      <c r="F5" s="8" t="n">
        <v>58</v>
      </c>
      <c r="G5" s="12" t="n">
        <f aca="false">IF($D5="N/A","-",IF($D5=$E5,1,0))</f>
        <v>1</v>
      </c>
    </row>
    <row r="6" customFormat="false" ht="15" hidden="false" customHeight="false" outlineLevel="0" collapsed="false">
      <c r="A6" s="8" t="s">
        <v>60</v>
      </c>
      <c r="B6" s="4" t="s">
        <v>61</v>
      </c>
      <c r="C6" s="8" t="s">
        <v>58</v>
      </c>
      <c r="D6" s="8" t="s">
        <v>59</v>
      </c>
      <c r="E6" s="8" t="s">
        <v>59</v>
      </c>
      <c r="F6" s="8" t="n">
        <v>83</v>
      </c>
      <c r="G6" s="12" t="n">
        <f aca="false">IF($D6="N/A","-",IF($D6=$E6,1,0))</f>
        <v>1</v>
      </c>
    </row>
    <row r="7" customFormat="false" ht="15" hidden="false" customHeight="false" outlineLevel="0" collapsed="false">
      <c r="A7" s="8" t="s">
        <v>62</v>
      </c>
      <c r="B7" s="4" t="s">
        <v>63</v>
      </c>
      <c r="C7" s="8" t="s">
        <v>58</v>
      </c>
      <c r="D7" s="8" t="s">
        <v>59</v>
      </c>
      <c r="E7" s="8" t="s">
        <v>59</v>
      </c>
      <c r="F7" s="8" t="n">
        <v>89</v>
      </c>
      <c r="G7" s="12" t="n">
        <f aca="false">IF($D7="N/A","-",IF($D7=$E7,1,0))</f>
        <v>1</v>
      </c>
    </row>
    <row r="8" customFormat="false" ht="15" hidden="false" customHeight="false" outlineLevel="0" collapsed="false">
      <c r="A8" s="8" t="s">
        <v>64</v>
      </c>
      <c r="B8" s="4" t="s">
        <v>65</v>
      </c>
      <c r="C8" s="8" t="s">
        <v>58</v>
      </c>
      <c r="D8" s="8" t="s">
        <v>66</v>
      </c>
      <c r="E8" s="8" t="s">
        <v>66</v>
      </c>
      <c r="F8" s="8" t="n">
        <v>74</v>
      </c>
      <c r="G8" s="12" t="n">
        <f aca="false">IF($D8="N/A","-",IF($D8=$E8,1,0))</f>
        <v>1</v>
      </c>
    </row>
    <row r="9" customFormat="false" ht="15" hidden="false" customHeight="false" outlineLevel="0" collapsed="false">
      <c r="A9" s="8" t="s">
        <v>67</v>
      </c>
      <c r="B9" s="4" t="s">
        <v>68</v>
      </c>
      <c r="C9" s="8" t="s">
        <v>69</v>
      </c>
      <c r="D9" s="8" t="s">
        <v>66</v>
      </c>
      <c r="E9" s="8" t="s">
        <v>59</v>
      </c>
      <c r="F9" s="8" t="n">
        <v>51</v>
      </c>
      <c r="G9" s="13" t="n">
        <f aca="false">IF($D9="N/A","-",IF($D9=$E9,1,0))</f>
        <v>0</v>
      </c>
    </row>
    <row r="10" customFormat="false" ht="15" hidden="false" customHeight="false" outlineLevel="0" collapsed="false">
      <c r="A10" s="8" t="s">
        <v>70</v>
      </c>
      <c r="B10" s="4" t="s">
        <v>71</v>
      </c>
      <c r="C10" s="8" t="s">
        <v>58</v>
      </c>
      <c r="D10" s="8" t="s">
        <v>66</v>
      </c>
      <c r="E10" s="8" t="s">
        <v>66</v>
      </c>
      <c r="F10" s="8" t="n">
        <v>36</v>
      </c>
      <c r="G10" s="12" t="n">
        <f aca="false">IF($D10="N/A","-",IF($D10=$E10,1,0))</f>
        <v>1</v>
      </c>
    </row>
    <row r="11" customFormat="false" ht="15" hidden="false" customHeight="false" outlineLevel="0" collapsed="false">
      <c r="A11" s="8" t="s">
        <v>72</v>
      </c>
      <c r="B11" s="4" t="s">
        <v>73</v>
      </c>
      <c r="C11" s="8" t="s">
        <v>74</v>
      </c>
      <c r="D11" s="8" t="s">
        <v>75</v>
      </c>
      <c r="E11" s="8" t="s">
        <v>66</v>
      </c>
      <c r="F11" s="8" t="n">
        <v>42</v>
      </c>
      <c r="G11" s="13" t="n">
        <f aca="false">IF($D11="N/A","-",IF($D11=$E11,1,0))</f>
        <v>0</v>
      </c>
    </row>
    <row r="12" customFormat="false" ht="15" hidden="false" customHeight="false" outlineLevel="0" collapsed="false">
      <c r="A12" s="8" t="s">
        <v>76</v>
      </c>
      <c r="B12" s="4" t="s">
        <v>77</v>
      </c>
      <c r="C12" s="8" t="s">
        <v>58</v>
      </c>
      <c r="D12" s="8" t="s">
        <v>75</v>
      </c>
      <c r="E12" s="8" t="s">
        <v>75</v>
      </c>
      <c r="F12" s="8" t="n">
        <v>76</v>
      </c>
      <c r="G12" s="12" t="n">
        <f aca="false">IF($D12="N/A","-",IF($D12=$E12,1,0))</f>
        <v>1</v>
      </c>
    </row>
    <row r="13" customFormat="false" ht="15" hidden="false" customHeight="false" outlineLevel="0" collapsed="false">
      <c r="A13" s="8" t="s">
        <v>78</v>
      </c>
      <c r="B13" s="4" t="s">
        <v>79</v>
      </c>
      <c r="C13" s="8" t="s">
        <v>58</v>
      </c>
      <c r="D13" s="8" t="s">
        <v>75</v>
      </c>
      <c r="E13" s="8" t="s">
        <v>75</v>
      </c>
      <c r="F13" s="8" t="n">
        <v>71</v>
      </c>
      <c r="G13" s="12" t="n">
        <f aca="false">IF($D13="N/A","-",IF($D13=$E13,1,0))</f>
        <v>1</v>
      </c>
    </row>
    <row r="14" customFormat="false" ht="15" hidden="false" customHeight="false" outlineLevel="0" collapsed="false">
      <c r="A14" s="8" t="s">
        <v>80</v>
      </c>
      <c r="B14" s="4" t="s">
        <v>81</v>
      </c>
      <c r="C14" s="8" t="s">
        <v>82</v>
      </c>
      <c r="D14" s="8" t="s">
        <v>66</v>
      </c>
      <c r="E14" s="8" t="s">
        <v>75</v>
      </c>
      <c r="F14" s="8" t="n">
        <v>47</v>
      </c>
      <c r="G14" s="13" t="n">
        <f aca="false">IF($D14="N/A","-",IF($D14=$E14,1,0))</f>
        <v>0</v>
      </c>
    </row>
    <row r="15" customFormat="false" ht="15" hidden="false" customHeight="false" outlineLevel="0" collapsed="false">
      <c r="A15" s="8" t="s">
        <v>83</v>
      </c>
      <c r="B15" s="4" t="s">
        <v>84</v>
      </c>
      <c r="C15" s="8" t="s">
        <v>82</v>
      </c>
      <c r="D15" s="8" t="s">
        <v>66</v>
      </c>
      <c r="E15" s="8" t="s">
        <v>75</v>
      </c>
      <c r="F15" s="8" t="n">
        <v>51</v>
      </c>
      <c r="G15" s="13" t="n">
        <f aca="false">IF($D15="N/A","-",IF($D15=$E15,1,0))</f>
        <v>0</v>
      </c>
    </row>
    <row r="16" customFormat="false" ht="15" hidden="false" customHeight="false" outlineLevel="0" collapsed="false">
      <c r="A16" s="14" t="s">
        <v>85</v>
      </c>
      <c r="B16" s="15" t="s">
        <v>86</v>
      </c>
      <c r="C16" s="14" t="s">
        <v>87</v>
      </c>
      <c r="D16" s="14" t="s">
        <v>88</v>
      </c>
      <c r="E16" s="14" t="s">
        <v>75</v>
      </c>
      <c r="F16" s="14" t="n">
        <v>6</v>
      </c>
      <c r="G16" s="14" t="str">
        <f aca="false">IF($D16="N/A","-",IF($D16=$E16,1,0))</f>
        <v>-</v>
      </c>
    </row>
    <row r="17" customFormat="false" ht="15" hidden="false" customHeight="false" outlineLevel="0" collapsed="false">
      <c r="A17" s="9" t="s">
        <v>89</v>
      </c>
    </row>
    <row r="19" customFormat="false" ht="19.5" hidden="false" customHeight="true" outlineLevel="0" collapsed="false">
      <c r="A19" s="5" t="s">
        <v>90</v>
      </c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16" t="s">
        <v>91</v>
      </c>
      <c r="B20" s="8" t="n">
        <f aca="false">COUNTA($D$5:$D$16)-COUNTIF($D$5:$D$16,"N/A")</f>
        <v>11</v>
      </c>
    </row>
    <row r="21" customFormat="false" ht="15" hidden="false" customHeight="false" outlineLevel="0" collapsed="false">
      <c r="A21" s="16" t="s">
        <v>92</v>
      </c>
      <c r="B21" s="8" t="n">
        <f aca="false">SUM($G$5:$G$16)</f>
        <v>7</v>
      </c>
    </row>
    <row r="22" customFormat="false" ht="15" hidden="false" customHeight="false" outlineLevel="0" collapsed="false">
      <c r="A22" s="16" t="s">
        <v>93</v>
      </c>
      <c r="B22" s="8" t="n">
        <f aca="false">$B$20-$B$21</f>
        <v>4</v>
      </c>
    </row>
    <row r="23" customFormat="false" ht="15" hidden="false" customHeight="false" outlineLevel="0" collapsed="false">
      <c r="A23" s="17" t="s">
        <v>94</v>
      </c>
      <c r="B23" s="11" t="n">
        <f aca="false">IFERROR($B$21/$B$20,0)</f>
        <v>0.636363636363636</v>
      </c>
    </row>
    <row r="24" customFormat="false" ht="15" hidden="false" customHeight="false" outlineLevel="0" collapsed="false">
      <c r="A24" s="9" t="s">
        <v>95</v>
      </c>
    </row>
    <row r="26" customFormat="false" ht="19.5" hidden="false" customHeight="true" outlineLevel="0" collapsed="false">
      <c r="A26" s="5" t="s">
        <v>96</v>
      </c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9" t="s">
        <v>97</v>
      </c>
    </row>
    <row r="28" customFormat="false" ht="15" hidden="false" customHeight="false" outlineLevel="0" collapsed="false">
      <c r="A28" s="7" t="s">
        <v>98</v>
      </c>
      <c r="B28" s="7" t="s">
        <v>59</v>
      </c>
      <c r="C28" s="7" t="s">
        <v>66</v>
      </c>
      <c r="D28" s="7" t="s">
        <v>75</v>
      </c>
      <c r="E28" s="7" t="s">
        <v>99</v>
      </c>
    </row>
    <row r="29" customFormat="false" ht="15" hidden="false" customHeight="false" outlineLevel="0" collapsed="false">
      <c r="A29" s="7" t="s">
        <v>59</v>
      </c>
      <c r="B29" s="18" t="n">
        <f aca="false">COUNTIFS($D$5:$D$16,$A29,$E$5:$E$16,B$28)</f>
        <v>3</v>
      </c>
      <c r="C29" s="19" t="n">
        <f aca="false">COUNTIFS($D$5:$D$16,$A29,$E$5:$E$16,C$28)</f>
        <v>0</v>
      </c>
      <c r="D29" s="19" t="n">
        <f aca="false">COUNTIFS($D$5:$D$16,$A29,$E$5:$E$16,D$28)</f>
        <v>0</v>
      </c>
      <c r="E29" s="8" t="n">
        <f aca="false">SUM(B29:D29)</f>
        <v>3</v>
      </c>
    </row>
    <row r="30" customFormat="false" ht="15" hidden="false" customHeight="false" outlineLevel="0" collapsed="false">
      <c r="A30" s="7" t="s">
        <v>66</v>
      </c>
      <c r="B30" s="19" t="n">
        <f aca="false">COUNTIFS($D$5:$D$16,$A30,$E$5:$E$16,B$28)</f>
        <v>1</v>
      </c>
      <c r="C30" s="18" t="n">
        <f aca="false">COUNTIFS($D$5:$D$16,$A30,$E$5:$E$16,C$28)</f>
        <v>2</v>
      </c>
      <c r="D30" s="19" t="n">
        <f aca="false">COUNTIFS($D$5:$D$16,$A30,$E$5:$E$16,D$28)</f>
        <v>2</v>
      </c>
      <c r="E30" s="8" t="n">
        <f aca="false">SUM(B30:D30)</f>
        <v>5</v>
      </c>
    </row>
    <row r="31" customFormat="false" ht="15" hidden="false" customHeight="false" outlineLevel="0" collapsed="false">
      <c r="A31" s="7" t="s">
        <v>75</v>
      </c>
      <c r="B31" s="19" t="n">
        <f aca="false">COUNTIFS($D$5:$D$16,$A31,$E$5:$E$16,B$28)</f>
        <v>0</v>
      </c>
      <c r="C31" s="19" t="n">
        <f aca="false">COUNTIFS($D$5:$D$16,$A31,$E$5:$E$16,C$28)</f>
        <v>1</v>
      </c>
      <c r="D31" s="18" t="n">
        <f aca="false">COUNTIFS($D$5:$D$16,$A31,$E$5:$E$16,D$28)</f>
        <v>2</v>
      </c>
      <c r="E31" s="8" t="n">
        <f aca="false">SUM(B31:D31)</f>
        <v>3</v>
      </c>
    </row>
    <row r="32" customFormat="false" ht="15" hidden="false" customHeight="false" outlineLevel="0" collapsed="false">
      <c r="A32" s="7" t="s">
        <v>100</v>
      </c>
      <c r="B32" s="8" t="n">
        <f aca="false">SUM(B29:B31)</f>
        <v>4</v>
      </c>
      <c r="C32" s="8" t="n">
        <f aca="false">SUM(C29:C31)</f>
        <v>3</v>
      </c>
      <c r="D32" s="8" t="n">
        <f aca="false">SUM(D29:D31)</f>
        <v>4</v>
      </c>
      <c r="E32" s="20" t="n">
        <f aca="false">SUM(B32:D32)</f>
        <v>11</v>
      </c>
    </row>
    <row r="34" customFormat="false" ht="19.5" hidden="false" customHeight="true" outlineLevel="0" collapsed="false">
      <c r="A34" s="5" t="s">
        <v>101</v>
      </c>
      <c r="B34" s="6"/>
      <c r="C34" s="6"/>
      <c r="D34" s="6"/>
      <c r="E34" s="6"/>
      <c r="F34" s="6"/>
      <c r="G34" s="6"/>
    </row>
    <row r="35" customFormat="false" ht="15" hidden="false" customHeight="false" outlineLevel="0" collapsed="false">
      <c r="A35" s="7" t="s">
        <v>102</v>
      </c>
      <c r="B35" s="7" t="s">
        <v>103</v>
      </c>
      <c r="C35" s="7" t="s">
        <v>104</v>
      </c>
      <c r="D35" s="7" t="s">
        <v>105</v>
      </c>
      <c r="E35" s="7" t="s">
        <v>106</v>
      </c>
      <c r="F35" s="7" t="s">
        <v>107</v>
      </c>
      <c r="G35" s="7" t="s">
        <v>108</v>
      </c>
    </row>
    <row r="36" customFormat="false" ht="15" hidden="false" customHeight="false" outlineLevel="0" collapsed="false">
      <c r="A36" s="4" t="s">
        <v>59</v>
      </c>
      <c r="B36" s="8" t="n">
        <f aca="false">B29</f>
        <v>3</v>
      </c>
      <c r="C36" s="8" t="n">
        <f aca="false">SUM(B29:B31)-B29</f>
        <v>1</v>
      </c>
      <c r="D36" s="8" t="n">
        <f aca="false">SUM(B29:D29)-B29</f>
        <v>0</v>
      </c>
      <c r="E36" s="21" t="n">
        <f aca="false">IFERROR($B36/($B36+$C36),0)</f>
        <v>0.75</v>
      </c>
      <c r="F36" s="21" t="n">
        <f aca="false">IFERROR($B36/($B36+$D36),0)</f>
        <v>1</v>
      </c>
      <c r="G36" s="22" t="n">
        <f aca="false">IFERROR(2*$E36*$F36/($E36+$F36),0)</f>
        <v>0.857142857142857</v>
      </c>
    </row>
    <row r="37" customFormat="false" ht="15" hidden="false" customHeight="false" outlineLevel="0" collapsed="false">
      <c r="A37" s="4" t="s">
        <v>66</v>
      </c>
      <c r="B37" s="8" t="n">
        <f aca="false">C30</f>
        <v>2</v>
      </c>
      <c r="C37" s="8" t="n">
        <f aca="false">SUM(C29:C31)-C30</f>
        <v>1</v>
      </c>
      <c r="D37" s="8" t="n">
        <f aca="false">SUM(B30:D30)-C30</f>
        <v>3</v>
      </c>
      <c r="E37" s="21" t="n">
        <f aca="false">IFERROR($B37/($B37+$C37),0)</f>
        <v>0.666666666666667</v>
      </c>
      <c r="F37" s="21" t="n">
        <f aca="false">IFERROR($B37/($B37+$D37),0)</f>
        <v>0.4</v>
      </c>
      <c r="G37" s="22" t="n">
        <f aca="false">IFERROR(2*$E37*$F37/($E37+$F37),0)</f>
        <v>0.5</v>
      </c>
    </row>
    <row r="38" customFormat="false" ht="15" hidden="false" customHeight="false" outlineLevel="0" collapsed="false">
      <c r="A38" s="4" t="s">
        <v>75</v>
      </c>
      <c r="B38" s="8" t="n">
        <f aca="false">D31</f>
        <v>2</v>
      </c>
      <c r="C38" s="8" t="n">
        <f aca="false">SUM(D29:D31)-D31</f>
        <v>2</v>
      </c>
      <c r="D38" s="8" t="n">
        <f aca="false">SUM(B31:D31)-D31</f>
        <v>1</v>
      </c>
      <c r="E38" s="21" t="n">
        <f aca="false">IFERROR($B38/($B38+$C38),0)</f>
        <v>0.5</v>
      </c>
      <c r="F38" s="21" t="n">
        <f aca="false">IFERROR($B38/($B38+$D38),0)</f>
        <v>0.666666666666667</v>
      </c>
      <c r="G38" s="22" t="n">
        <f aca="false">IFERROR(2*$E38*$F38/($E38+$F38),0)</f>
        <v>0.571428571428572</v>
      </c>
    </row>
    <row r="39" customFormat="false" ht="15" hidden="false" customHeight="false" outlineLevel="0" collapsed="false">
      <c r="A39" s="17" t="s">
        <v>109</v>
      </c>
      <c r="B39" s="23" t="n">
        <f aca="false">SUM(B36:B38)</f>
        <v>7</v>
      </c>
      <c r="C39" s="23" t="n">
        <f aca="false">SUM(C36:C38)</f>
        <v>4</v>
      </c>
      <c r="D39" s="23" t="n">
        <f aca="false">SUM(D36:D38)</f>
        <v>4</v>
      </c>
      <c r="E39" s="11" t="n">
        <f aca="false">AVERAGE(E36:E38)</f>
        <v>0.638888888888889</v>
      </c>
      <c r="F39" s="11" t="n">
        <f aca="false">AVERAGE(F36:F38)</f>
        <v>0.688888888888889</v>
      </c>
      <c r="G39" s="24" t="n">
        <f aca="false">AVERAGE(G36:G38)</f>
        <v>0.642857142857143</v>
      </c>
    </row>
    <row r="40" customFormat="false" ht="15" hidden="false" customHeight="false" outlineLevel="0" collapsed="false">
      <c r="A40" s="9" t="s">
        <v>110</v>
      </c>
    </row>
    <row r="42" customFormat="false" ht="19.5" hidden="false" customHeight="true" outlineLevel="0" collapsed="false">
      <c r="A42" s="5" t="s">
        <v>111</v>
      </c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16" t="s">
        <v>112</v>
      </c>
      <c r="B43" s="25" t="n">
        <f aca="false">IFERROR(SUMIF($G$5:$G$16,1,$F$5:$F$16)/COUNTIF($G$5:$G$16,1),0)</f>
        <v>69.5714285714286</v>
      </c>
    </row>
    <row r="44" customFormat="false" ht="15" hidden="false" customHeight="false" outlineLevel="0" collapsed="false">
      <c r="A44" s="16" t="s">
        <v>113</v>
      </c>
      <c r="B44" s="25" t="n">
        <f aca="false">IFERROR(SUMIF($G$5:$G$16,0,$F$5:$F$16)/COUNTIF($G$5:$G$16,0),0)</f>
        <v>47.75</v>
      </c>
    </row>
    <row r="45" customFormat="false" ht="15" hidden="false" customHeight="false" outlineLevel="0" collapsed="false">
      <c r="A45" s="16" t="s">
        <v>114</v>
      </c>
      <c r="B45" s="25" t="n">
        <f aca="false">$B$43-$B$44</f>
        <v>21.8214285714286</v>
      </c>
    </row>
    <row r="46" customFormat="false" ht="15" hidden="false" customHeight="false" outlineLevel="0" collapsed="false">
      <c r="A46" s="16" t="s">
        <v>115</v>
      </c>
      <c r="B46" s="25" t="n">
        <f aca="false">IFERROR(SUMIF($D$5:$D$16,"&lt;&gt;N/A",$F$5:$F$16)/COUNTIF($D$5:$D$16,"&lt;&gt;N/A"),0)</f>
        <v>61.6363636363636</v>
      </c>
    </row>
    <row r="47" customFormat="false" ht="15" hidden="false" customHeight="false" outlineLevel="0" collapsed="false">
      <c r="A47" s="16" t="s">
        <v>116</v>
      </c>
      <c r="B47" s="25" t="n">
        <f aca="false">$F$16</f>
        <v>6</v>
      </c>
    </row>
    <row r="48" customFormat="false" ht="15" hidden="false" customHeight="false" outlineLevel="0" collapsed="false">
      <c r="A48" s="9" t="s">
        <v>117</v>
      </c>
    </row>
    <row r="50" customFormat="false" ht="15" hidden="false" customHeight="false" outlineLevel="0" collapsed="false">
      <c r="A50" s="26" t="s">
        <v>118</v>
      </c>
    </row>
    <row r="51" customFormat="false" ht="15" hidden="false" customHeight="true" outlineLevel="0" collapsed="false">
      <c r="A51" s="27" t="s">
        <v>119</v>
      </c>
      <c r="B51" s="27"/>
      <c r="C51" s="27"/>
      <c r="D51" s="27"/>
      <c r="E51" s="27"/>
      <c r="F51" s="27"/>
      <c r="G51" s="27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</row>
  </sheetData>
  <mergeCells count="1">
    <mergeCell ref="A51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  <col collapsed="false" customWidth="true" hidden="false" outlineLevel="0" max="5" min="3" style="0" width="2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24" hidden="false" customHeight="true" outlineLevel="0" collapsed="false">
      <c r="A1" s="1" t="s">
        <v>120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9" t="s">
        <v>121</v>
      </c>
    </row>
    <row r="3" customFormat="false" ht="19.5" hidden="false" customHeight="true" outlineLevel="0" collapsed="false">
      <c r="A3" s="5" t="s">
        <v>48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7" t="s">
        <v>49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</row>
    <row r="5" customFormat="false" ht="15" hidden="false" customHeight="false" outlineLevel="0" collapsed="false">
      <c r="A5" s="8" t="s">
        <v>56</v>
      </c>
      <c r="B5" s="4" t="s">
        <v>57</v>
      </c>
      <c r="C5" s="8" t="s">
        <v>58</v>
      </c>
      <c r="D5" s="8" t="s">
        <v>59</v>
      </c>
      <c r="E5" s="8" t="s">
        <v>59</v>
      </c>
      <c r="F5" s="8" t="n">
        <v>58</v>
      </c>
      <c r="G5" s="12" t="n">
        <f aca="false">IF($D5="N/A","-",IF($D5=$E5,1,0))</f>
        <v>1</v>
      </c>
    </row>
    <row r="6" customFormat="false" ht="15" hidden="false" customHeight="false" outlineLevel="0" collapsed="false">
      <c r="A6" s="8" t="s">
        <v>60</v>
      </c>
      <c r="B6" s="4" t="s">
        <v>61</v>
      </c>
      <c r="C6" s="8" t="s">
        <v>58</v>
      </c>
      <c r="D6" s="8" t="s">
        <v>59</v>
      </c>
      <c r="E6" s="8" t="s">
        <v>59</v>
      </c>
      <c r="F6" s="8" t="n">
        <v>97</v>
      </c>
      <c r="G6" s="12" t="n">
        <f aca="false">IF($D6="N/A","-",IF($D6=$E6,1,0))</f>
        <v>1</v>
      </c>
    </row>
    <row r="7" customFormat="false" ht="15" hidden="false" customHeight="false" outlineLevel="0" collapsed="false">
      <c r="A7" s="8" t="s">
        <v>62</v>
      </c>
      <c r="B7" s="4" t="s">
        <v>63</v>
      </c>
      <c r="C7" s="8" t="s">
        <v>58</v>
      </c>
      <c r="D7" s="8" t="s">
        <v>59</v>
      </c>
      <c r="E7" s="8" t="s">
        <v>59</v>
      </c>
      <c r="F7" s="8" t="n">
        <v>96</v>
      </c>
      <c r="G7" s="12" t="n">
        <f aca="false">IF($D7="N/A","-",IF($D7=$E7,1,0))</f>
        <v>1</v>
      </c>
    </row>
    <row r="8" customFormat="false" ht="15" hidden="false" customHeight="false" outlineLevel="0" collapsed="false">
      <c r="A8" s="8" t="s">
        <v>64</v>
      </c>
      <c r="B8" s="4" t="s">
        <v>65</v>
      </c>
      <c r="C8" s="8" t="s">
        <v>58</v>
      </c>
      <c r="D8" s="8" t="s">
        <v>66</v>
      </c>
      <c r="E8" s="8" t="s">
        <v>66</v>
      </c>
      <c r="F8" s="8" t="n">
        <v>75</v>
      </c>
      <c r="G8" s="12" t="n">
        <f aca="false">IF($D8="N/A","-",IF($D8=$E8,1,0))</f>
        <v>1</v>
      </c>
    </row>
    <row r="9" customFormat="false" ht="15" hidden="false" customHeight="false" outlineLevel="0" collapsed="false">
      <c r="A9" s="8" t="s">
        <v>67</v>
      </c>
      <c r="B9" s="4" t="s">
        <v>68</v>
      </c>
      <c r="C9" s="8" t="s">
        <v>69</v>
      </c>
      <c r="D9" s="8" t="s">
        <v>66</v>
      </c>
      <c r="E9" s="8" t="s">
        <v>59</v>
      </c>
      <c r="F9" s="8" t="n">
        <v>58</v>
      </c>
      <c r="G9" s="13" t="n">
        <f aca="false">IF($D9="N/A","-",IF($D9=$E9,1,0))</f>
        <v>0</v>
      </c>
    </row>
    <row r="10" customFormat="false" ht="15" hidden="false" customHeight="false" outlineLevel="0" collapsed="false">
      <c r="A10" s="8" t="s">
        <v>70</v>
      </c>
      <c r="B10" s="4" t="s">
        <v>71</v>
      </c>
      <c r="C10" s="8" t="s">
        <v>58</v>
      </c>
      <c r="D10" s="8" t="s">
        <v>66</v>
      </c>
      <c r="E10" s="8" t="s">
        <v>66</v>
      </c>
      <c r="F10" s="8" t="n">
        <v>65</v>
      </c>
      <c r="G10" s="12" t="n">
        <f aca="false">IF($D10="N/A","-",IF($D10=$E10,1,0))</f>
        <v>1</v>
      </c>
    </row>
    <row r="11" customFormat="false" ht="15" hidden="false" customHeight="false" outlineLevel="0" collapsed="false">
      <c r="A11" s="8" t="s">
        <v>72</v>
      </c>
      <c r="B11" s="4" t="s">
        <v>73</v>
      </c>
      <c r="C11" s="8" t="s">
        <v>74</v>
      </c>
      <c r="D11" s="8" t="s">
        <v>75</v>
      </c>
      <c r="E11" s="8" t="s">
        <v>66</v>
      </c>
      <c r="F11" s="8" t="n">
        <v>63</v>
      </c>
      <c r="G11" s="13" t="n">
        <f aca="false">IF($D11="N/A","-",IF($D11=$E11,1,0))</f>
        <v>0</v>
      </c>
    </row>
    <row r="12" customFormat="false" ht="15" hidden="false" customHeight="false" outlineLevel="0" collapsed="false">
      <c r="A12" s="8" t="s">
        <v>76</v>
      </c>
      <c r="B12" s="4" t="s">
        <v>77</v>
      </c>
      <c r="C12" s="8" t="s">
        <v>58</v>
      </c>
      <c r="D12" s="8" t="s">
        <v>75</v>
      </c>
      <c r="E12" s="8" t="s">
        <v>75</v>
      </c>
      <c r="F12" s="8" t="n">
        <v>89</v>
      </c>
      <c r="G12" s="12" t="n">
        <f aca="false">IF($D12="N/A","-",IF($D12=$E12,1,0))</f>
        <v>1</v>
      </c>
    </row>
    <row r="13" customFormat="false" ht="15" hidden="false" customHeight="false" outlineLevel="0" collapsed="false">
      <c r="A13" s="8" t="s">
        <v>78</v>
      </c>
      <c r="B13" s="4" t="s">
        <v>79</v>
      </c>
      <c r="C13" s="8" t="s">
        <v>58</v>
      </c>
      <c r="D13" s="8" t="s">
        <v>75</v>
      </c>
      <c r="E13" s="8" t="s">
        <v>75</v>
      </c>
      <c r="F13" s="8" t="n">
        <v>88</v>
      </c>
      <c r="G13" s="12" t="n">
        <f aca="false">IF($D13="N/A","-",IF($D13=$E13,1,0))</f>
        <v>1</v>
      </c>
    </row>
    <row r="14" customFormat="false" ht="15" hidden="false" customHeight="false" outlineLevel="0" collapsed="false">
      <c r="A14" s="8" t="s">
        <v>80</v>
      </c>
      <c r="B14" s="4" t="s">
        <v>81</v>
      </c>
      <c r="C14" s="8" t="s">
        <v>82</v>
      </c>
      <c r="D14" s="8" t="s">
        <v>66</v>
      </c>
      <c r="E14" s="8" t="s">
        <v>75</v>
      </c>
      <c r="F14" s="8" t="n">
        <v>50</v>
      </c>
      <c r="G14" s="13" t="n">
        <f aca="false">IF($D14="N/A","-",IF($D14=$E14,1,0))</f>
        <v>0</v>
      </c>
    </row>
    <row r="15" customFormat="false" ht="15" hidden="false" customHeight="false" outlineLevel="0" collapsed="false">
      <c r="A15" s="8" t="s">
        <v>83</v>
      </c>
      <c r="B15" s="4" t="s">
        <v>84</v>
      </c>
      <c r="C15" s="8" t="s">
        <v>82</v>
      </c>
      <c r="D15" s="8" t="s">
        <v>66</v>
      </c>
      <c r="E15" s="8" t="s">
        <v>66</v>
      </c>
      <c r="F15" s="8" t="n">
        <v>49</v>
      </c>
      <c r="G15" s="12" t="n">
        <f aca="false">IF($D15="N/A","-",IF($D15=$E15,1,0))</f>
        <v>1</v>
      </c>
    </row>
    <row r="16" customFormat="false" ht="15" hidden="false" customHeight="false" outlineLevel="0" collapsed="false">
      <c r="A16" s="14" t="s">
        <v>85</v>
      </c>
      <c r="B16" s="15" t="s">
        <v>86</v>
      </c>
      <c r="C16" s="14" t="s">
        <v>87</v>
      </c>
      <c r="D16" s="14" t="s">
        <v>88</v>
      </c>
      <c r="E16" s="14" t="s">
        <v>75</v>
      </c>
      <c r="F16" s="14" t="n">
        <v>5</v>
      </c>
      <c r="G16" s="14" t="str">
        <f aca="false">IF($D16="N/A","-",IF($D16=$E16,1,0))</f>
        <v>-</v>
      </c>
    </row>
    <row r="17" customFormat="false" ht="15" hidden="false" customHeight="false" outlineLevel="0" collapsed="false">
      <c r="A17" s="9" t="s">
        <v>89</v>
      </c>
    </row>
    <row r="19" customFormat="false" ht="19.5" hidden="false" customHeight="true" outlineLevel="0" collapsed="false">
      <c r="A19" s="5" t="s">
        <v>90</v>
      </c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16" t="s">
        <v>91</v>
      </c>
      <c r="B20" s="8" t="n">
        <f aca="false">COUNTA($D$5:$D$16)-COUNTIF($D$5:$D$16,"N/A")</f>
        <v>11</v>
      </c>
    </row>
    <row r="21" customFormat="false" ht="15" hidden="false" customHeight="false" outlineLevel="0" collapsed="false">
      <c r="A21" s="16" t="s">
        <v>92</v>
      </c>
      <c r="B21" s="8" t="n">
        <f aca="false">SUM($G$5:$G$16)</f>
        <v>8</v>
      </c>
    </row>
    <row r="22" customFormat="false" ht="15" hidden="false" customHeight="false" outlineLevel="0" collapsed="false">
      <c r="A22" s="16" t="s">
        <v>93</v>
      </c>
      <c r="B22" s="8" t="n">
        <f aca="false">$B$20-$B$21</f>
        <v>3</v>
      </c>
    </row>
    <row r="23" customFormat="false" ht="15" hidden="false" customHeight="false" outlineLevel="0" collapsed="false">
      <c r="A23" s="17" t="s">
        <v>94</v>
      </c>
      <c r="B23" s="11" t="n">
        <f aca="false">IFERROR($B$21/$B$20,0)</f>
        <v>0.727272727272727</v>
      </c>
    </row>
    <row r="24" customFormat="false" ht="15" hidden="false" customHeight="false" outlineLevel="0" collapsed="false">
      <c r="A24" s="9" t="s">
        <v>95</v>
      </c>
    </row>
    <row r="26" customFormat="false" ht="19.5" hidden="false" customHeight="true" outlineLevel="0" collapsed="false">
      <c r="A26" s="5" t="s">
        <v>96</v>
      </c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9" t="s">
        <v>97</v>
      </c>
    </row>
    <row r="28" customFormat="false" ht="15" hidden="false" customHeight="false" outlineLevel="0" collapsed="false">
      <c r="A28" s="7" t="s">
        <v>98</v>
      </c>
      <c r="B28" s="7" t="s">
        <v>59</v>
      </c>
      <c r="C28" s="7" t="s">
        <v>66</v>
      </c>
      <c r="D28" s="7" t="s">
        <v>75</v>
      </c>
      <c r="E28" s="7" t="s">
        <v>99</v>
      </c>
    </row>
    <row r="29" customFormat="false" ht="15" hidden="false" customHeight="false" outlineLevel="0" collapsed="false">
      <c r="A29" s="7" t="s">
        <v>59</v>
      </c>
      <c r="B29" s="18" t="n">
        <f aca="false">COUNTIFS($D$5:$D$16,$A29,$E$5:$E$16,B$28)</f>
        <v>3</v>
      </c>
      <c r="C29" s="19" t="n">
        <f aca="false">COUNTIFS($D$5:$D$16,$A29,$E$5:$E$16,C$28)</f>
        <v>0</v>
      </c>
      <c r="D29" s="19" t="n">
        <f aca="false">COUNTIFS($D$5:$D$16,$A29,$E$5:$E$16,D$28)</f>
        <v>0</v>
      </c>
      <c r="E29" s="8" t="n">
        <f aca="false">SUM(B29:D29)</f>
        <v>3</v>
      </c>
    </row>
    <row r="30" customFormat="false" ht="15" hidden="false" customHeight="false" outlineLevel="0" collapsed="false">
      <c r="A30" s="7" t="s">
        <v>66</v>
      </c>
      <c r="B30" s="19" t="n">
        <f aca="false">COUNTIFS($D$5:$D$16,$A30,$E$5:$E$16,B$28)</f>
        <v>1</v>
      </c>
      <c r="C30" s="18" t="n">
        <f aca="false">COUNTIFS($D$5:$D$16,$A30,$E$5:$E$16,C$28)</f>
        <v>3</v>
      </c>
      <c r="D30" s="19" t="n">
        <f aca="false">COUNTIFS($D$5:$D$16,$A30,$E$5:$E$16,D$28)</f>
        <v>1</v>
      </c>
      <c r="E30" s="8" t="n">
        <f aca="false">SUM(B30:D30)</f>
        <v>5</v>
      </c>
    </row>
    <row r="31" customFormat="false" ht="15" hidden="false" customHeight="false" outlineLevel="0" collapsed="false">
      <c r="A31" s="7" t="s">
        <v>75</v>
      </c>
      <c r="B31" s="19" t="n">
        <f aca="false">COUNTIFS($D$5:$D$16,$A31,$E$5:$E$16,B$28)</f>
        <v>0</v>
      </c>
      <c r="C31" s="19" t="n">
        <f aca="false">COUNTIFS($D$5:$D$16,$A31,$E$5:$E$16,C$28)</f>
        <v>1</v>
      </c>
      <c r="D31" s="18" t="n">
        <f aca="false">COUNTIFS($D$5:$D$16,$A31,$E$5:$E$16,D$28)</f>
        <v>2</v>
      </c>
      <c r="E31" s="8" t="n">
        <f aca="false">SUM(B31:D31)</f>
        <v>3</v>
      </c>
    </row>
    <row r="32" customFormat="false" ht="15" hidden="false" customHeight="false" outlineLevel="0" collapsed="false">
      <c r="A32" s="7" t="s">
        <v>100</v>
      </c>
      <c r="B32" s="8" t="n">
        <f aca="false">SUM(B29:B31)</f>
        <v>4</v>
      </c>
      <c r="C32" s="8" t="n">
        <f aca="false">SUM(C29:C31)</f>
        <v>4</v>
      </c>
      <c r="D32" s="8" t="n">
        <f aca="false">SUM(D29:D31)</f>
        <v>3</v>
      </c>
      <c r="E32" s="20" t="n">
        <f aca="false">SUM(B32:D32)</f>
        <v>11</v>
      </c>
    </row>
    <row r="34" customFormat="false" ht="19.5" hidden="false" customHeight="true" outlineLevel="0" collapsed="false">
      <c r="A34" s="5" t="s">
        <v>101</v>
      </c>
      <c r="B34" s="6"/>
      <c r="C34" s="6"/>
      <c r="D34" s="6"/>
      <c r="E34" s="6"/>
      <c r="F34" s="6"/>
      <c r="G34" s="6"/>
    </row>
    <row r="35" customFormat="false" ht="15" hidden="false" customHeight="false" outlineLevel="0" collapsed="false">
      <c r="A35" s="7" t="s">
        <v>102</v>
      </c>
      <c r="B35" s="7" t="s">
        <v>103</v>
      </c>
      <c r="C35" s="7" t="s">
        <v>104</v>
      </c>
      <c r="D35" s="7" t="s">
        <v>105</v>
      </c>
      <c r="E35" s="7" t="s">
        <v>106</v>
      </c>
      <c r="F35" s="7" t="s">
        <v>107</v>
      </c>
      <c r="G35" s="7" t="s">
        <v>108</v>
      </c>
    </row>
    <row r="36" customFormat="false" ht="15" hidden="false" customHeight="false" outlineLevel="0" collapsed="false">
      <c r="A36" s="4" t="s">
        <v>59</v>
      </c>
      <c r="B36" s="8" t="n">
        <f aca="false">B29</f>
        <v>3</v>
      </c>
      <c r="C36" s="8" t="n">
        <f aca="false">SUM(B29:B31)-B29</f>
        <v>1</v>
      </c>
      <c r="D36" s="8" t="n">
        <f aca="false">SUM(B29:D29)-B29</f>
        <v>0</v>
      </c>
      <c r="E36" s="21" t="n">
        <f aca="false">IFERROR($B36/($B36+$C36),0)</f>
        <v>0.75</v>
      </c>
      <c r="F36" s="21" t="n">
        <f aca="false">IFERROR($B36/($B36+$D36),0)</f>
        <v>1</v>
      </c>
      <c r="G36" s="22" t="n">
        <f aca="false">IFERROR(2*$E36*$F36/($E36+$F36),0)</f>
        <v>0.857142857142857</v>
      </c>
    </row>
    <row r="37" customFormat="false" ht="15" hidden="false" customHeight="false" outlineLevel="0" collapsed="false">
      <c r="A37" s="4" t="s">
        <v>66</v>
      </c>
      <c r="B37" s="8" t="n">
        <f aca="false">C30</f>
        <v>3</v>
      </c>
      <c r="C37" s="8" t="n">
        <f aca="false">SUM(C29:C31)-C30</f>
        <v>1</v>
      </c>
      <c r="D37" s="8" t="n">
        <f aca="false">SUM(B30:D30)-C30</f>
        <v>2</v>
      </c>
      <c r="E37" s="21" t="n">
        <f aca="false">IFERROR($B37/($B37+$C37),0)</f>
        <v>0.75</v>
      </c>
      <c r="F37" s="21" t="n">
        <f aca="false">IFERROR($B37/($B37+$D37),0)</f>
        <v>0.6</v>
      </c>
      <c r="G37" s="22" t="n">
        <f aca="false">IFERROR(2*$E37*$F37/($E37+$F37),0)</f>
        <v>0.666666666666667</v>
      </c>
    </row>
    <row r="38" customFormat="false" ht="15" hidden="false" customHeight="false" outlineLevel="0" collapsed="false">
      <c r="A38" s="4" t="s">
        <v>75</v>
      </c>
      <c r="B38" s="8" t="n">
        <f aca="false">D31</f>
        <v>2</v>
      </c>
      <c r="C38" s="8" t="n">
        <f aca="false">SUM(D29:D31)-D31</f>
        <v>1</v>
      </c>
      <c r="D38" s="8" t="n">
        <f aca="false">SUM(B31:D31)-D31</f>
        <v>1</v>
      </c>
      <c r="E38" s="21" t="n">
        <f aca="false">IFERROR($B38/($B38+$C38),0)</f>
        <v>0.666666666666667</v>
      </c>
      <c r="F38" s="21" t="n">
        <f aca="false">IFERROR($B38/($B38+$D38),0)</f>
        <v>0.666666666666667</v>
      </c>
      <c r="G38" s="22" t="n">
        <f aca="false">IFERROR(2*$E38*$F38/($E38+$F38),0)</f>
        <v>0.666666666666667</v>
      </c>
    </row>
    <row r="39" customFormat="false" ht="15" hidden="false" customHeight="false" outlineLevel="0" collapsed="false">
      <c r="A39" s="17" t="s">
        <v>109</v>
      </c>
      <c r="B39" s="23" t="n">
        <f aca="false">SUM(B36:B38)</f>
        <v>8</v>
      </c>
      <c r="C39" s="23" t="n">
        <f aca="false">SUM(C36:C38)</f>
        <v>3</v>
      </c>
      <c r="D39" s="23" t="n">
        <f aca="false">SUM(D36:D38)</f>
        <v>3</v>
      </c>
      <c r="E39" s="11" t="n">
        <f aca="false">AVERAGE(E36:E38)</f>
        <v>0.722222222222222</v>
      </c>
      <c r="F39" s="11" t="n">
        <f aca="false">AVERAGE(F36:F38)</f>
        <v>0.755555555555556</v>
      </c>
      <c r="G39" s="24" t="n">
        <f aca="false">AVERAGE(G36:G38)</f>
        <v>0.73015873015873</v>
      </c>
    </row>
    <row r="40" customFormat="false" ht="15" hidden="false" customHeight="false" outlineLevel="0" collapsed="false">
      <c r="A40" s="9" t="s">
        <v>110</v>
      </c>
    </row>
    <row r="42" customFormat="false" ht="19.5" hidden="false" customHeight="true" outlineLevel="0" collapsed="false">
      <c r="A42" s="5" t="s">
        <v>111</v>
      </c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16" t="s">
        <v>112</v>
      </c>
      <c r="B43" s="25" t="n">
        <f aca="false">IFERROR(SUMIF($G$5:$G$16,1,$F$5:$F$16)/COUNTIF($G$5:$G$16,1),0)</f>
        <v>77.125</v>
      </c>
    </row>
    <row r="44" customFormat="false" ht="15" hidden="false" customHeight="false" outlineLevel="0" collapsed="false">
      <c r="A44" s="16" t="s">
        <v>113</v>
      </c>
      <c r="B44" s="25" t="n">
        <f aca="false">IFERROR(SUMIF($G$5:$G$16,0,$F$5:$F$16)/COUNTIF($G$5:$G$16,0),0)</f>
        <v>57</v>
      </c>
    </row>
    <row r="45" customFormat="false" ht="15" hidden="false" customHeight="false" outlineLevel="0" collapsed="false">
      <c r="A45" s="16" t="s">
        <v>114</v>
      </c>
      <c r="B45" s="25" t="n">
        <f aca="false">$B$43-$B$44</f>
        <v>20.125</v>
      </c>
    </row>
    <row r="46" customFormat="false" ht="15" hidden="false" customHeight="false" outlineLevel="0" collapsed="false">
      <c r="A46" s="16" t="s">
        <v>115</v>
      </c>
      <c r="B46" s="25" t="n">
        <f aca="false">IFERROR(SUMIF($D$5:$D$16,"&lt;&gt;N/A",$F$5:$F$16)/COUNTIF($D$5:$D$16,"&lt;&gt;N/A"),0)</f>
        <v>71.6363636363636</v>
      </c>
    </row>
    <row r="47" customFormat="false" ht="15" hidden="false" customHeight="false" outlineLevel="0" collapsed="false">
      <c r="A47" s="16" t="s">
        <v>116</v>
      </c>
      <c r="B47" s="25" t="n">
        <f aca="false">$F$16</f>
        <v>5</v>
      </c>
    </row>
    <row r="48" customFormat="false" ht="15" hidden="false" customHeight="false" outlineLevel="0" collapsed="false">
      <c r="A48" s="9" t="s">
        <v>117</v>
      </c>
    </row>
    <row r="50" customFormat="false" ht="15" hidden="false" customHeight="false" outlineLevel="0" collapsed="false">
      <c r="A50" s="26" t="s">
        <v>118</v>
      </c>
    </row>
    <row r="51" customFormat="false" ht="15" hidden="false" customHeight="true" outlineLevel="0" collapsed="false">
      <c r="A51" s="27" t="s">
        <v>122</v>
      </c>
      <c r="B51" s="27"/>
      <c r="C51" s="27"/>
      <c r="D51" s="27"/>
      <c r="E51" s="27"/>
      <c r="F51" s="27"/>
      <c r="G51" s="27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</row>
  </sheetData>
  <mergeCells count="1">
    <mergeCell ref="A51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  <col collapsed="false" customWidth="true" hidden="false" outlineLevel="0" max="5" min="3" style="0" width="2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24" hidden="false" customHeight="true" outlineLevel="0" collapsed="false">
      <c r="A1" s="1" t="s">
        <v>123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9" t="s">
        <v>124</v>
      </c>
    </row>
    <row r="3" customFormat="false" ht="19.5" hidden="false" customHeight="true" outlineLevel="0" collapsed="false">
      <c r="A3" s="5" t="s">
        <v>48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7" t="s">
        <v>49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</row>
    <row r="5" customFormat="false" ht="15" hidden="false" customHeight="false" outlineLevel="0" collapsed="false">
      <c r="A5" s="8" t="s">
        <v>56</v>
      </c>
      <c r="B5" s="4" t="s">
        <v>57</v>
      </c>
      <c r="C5" s="8" t="s">
        <v>58</v>
      </c>
      <c r="D5" s="8" t="s">
        <v>59</v>
      </c>
      <c r="E5" s="8" t="s">
        <v>59</v>
      </c>
      <c r="F5" s="8" t="n">
        <v>67</v>
      </c>
      <c r="G5" s="12" t="n">
        <f aca="false">IF($D5="N/A","-",IF($D5=$E5,1,0))</f>
        <v>1</v>
      </c>
    </row>
    <row r="6" customFormat="false" ht="15" hidden="false" customHeight="false" outlineLevel="0" collapsed="false">
      <c r="A6" s="8" t="s">
        <v>60</v>
      </c>
      <c r="B6" s="4" t="s">
        <v>61</v>
      </c>
      <c r="C6" s="8" t="s">
        <v>58</v>
      </c>
      <c r="D6" s="8" t="s">
        <v>59</v>
      </c>
      <c r="E6" s="8" t="s">
        <v>59</v>
      </c>
      <c r="F6" s="8" t="n">
        <v>97</v>
      </c>
      <c r="G6" s="12" t="n">
        <f aca="false">IF($D6="N/A","-",IF($D6=$E6,1,0))</f>
        <v>1</v>
      </c>
    </row>
    <row r="7" customFormat="false" ht="15" hidden="false" customHeight="false" outlineLevel="0" collapsed="false">
      <c r="A7" s="8" t="s">
        <v>62</v>
      </c>
      <c r="B7" s="4" t="s">
        <v>63</v>
      </c>
      <c r="C7" s="8" t="s">
        <v>58</v>
      </c>
      <c r="D7" s="8" t="s">
        <v>59</v>
      </c>
      <c r="E7" s="8" t="s">
        <v>59</v>
      </c>
      <c r="F7" s="8" t="n">
        <v>96</v>
      </c>
      <c r="G7" s="12" t="n">
        <f aca="false">IF($D7="N/A","-",IF($D7=$E7,1,0))</f>
        <v>1</v>
      </c>
    </row>
    <row r="8" customFormat="false" ht="15" hidden="false" customHeight="false" outlineLevel="0" collapsed="false">
      <c r="A8" s="8" t="s">
        <v>64</v>
      </c>
      <c r="B8" s="4" t="s">
        <v>65</v>
      </c>
      <c r="C8" s="8" t="s">
        <v>58</v>
      </c>
      <c r="D8" s="8" t="s">
        <v>66</v>
      </c>
      <c r="E8" s="8" t="s">
        <v>66</v>
      </c>
      <c r="F8" s="8" t="n">
        <v>92</v>
      </c>
      <c r="G8" s="12" t="n">
        <f aca="false">IF($D8="N/A","-",IF($D8=$E8,1,0))</f>
        <v>1</v>
      </c>
    </row>
    <row r="9" customFormat="false" ht="15" hidden="false" customHeight="false" outlineLevel="0" collapsed="false">
      <c r="A9" s="8" t="s">
        <v>67</v>
      </c>
      <c r="B9" s="4" t="s">
        <v>68</v>
      </c>
      <c r="C9" s="8" t="s">
        <v>69</v>
      </c>
      <c r="D9" s="8" t="s">
        <v>66</v>
      </c>
      <c r="E9" s="8" t="s">
        <v>66</v>
      </c>
      <c r="F9" s="8" t="n">
        <v>92</v>
      </c>
      <c r="G9" s="12" t="n">
        <f aca="false">IF($D9="N/A","-",IF($D9=$E9,1,0))</f>
        <v>1</v>
      </c>
    </row>
    <row r="10" customFormat="false" ht="15" hidden="false" customHeight="false" outlineLevel="0" collapsed="false">
      <c r="A10" s="8" t="s">
        <v>70</v>
      </c>
      <c r="B10" s="4" t="s">
        <v>71</v>
      </c>
      <c r="C10" s="8" t="s">
        <v>58</v>
      </c>
      <c r="D10" s="8" t="s">
        <v>66</v>
      </c>
      <c r="E10" s="8" t="s">
        <v>66</v>
      </c>
      <c r="F10" s="8" t="n">
        <v>69</v>
      </c>
      <c r="G10" s="12" t="n">
        <f aca="false">IF($D10="N/A","-",IF($D10=$E10,1,0))</f>
        <v>1</v>
      </c>
    </row>
    <row r="11" customFormat="false" ht="15" hidden="false" customHeight="false" outlineLevel="0" collapsed="false">
      <c r="A11" s="8" t="s">
        <v>72</v>
      </c>
      <c r="B11" s="4" t="s">
        <v>73</v>
      </c>
      <c r="C11" s="8" t="s">
        <v>74</v>
      </c>
      <c r="D11" s="8" t="s">
        <v>75</v>
      </c>
      <c r="E11" s="8" t="s">
        <v>75</v>
      </c>
      <c r="F11" s="8" t="n">
        <v>77</v>
      </c>
      <c r="G11" s="12" t="n">
        <f aca="false">IF($D11="N/A","-",IF($D11=$E11,1,0))</f>
        <v>1</v>
      </c>
    </row>
    <row r="12" customFormat="false" ht="15" hidden="false" customHeight="false" outlineLevel="0" collapsed="false">
      <c r="A12" s="8" t="s">
        <v>76</v>
      </c>
      <c r="B12" s="4" t="s">
        <v>77</v>
      </c>
      <c r="C12" s="8" t="s">
        <v>58</v>
      </c>
      <c r="D12" s="8" t="s">
        <v>75</v>
      </c>
      <c r="E12" s="8" t="s">
        <v>75</v>
      </c>
      <c r="F12" s="8" t="n">
        <v>91</v>
      </c>
      <c r="G12" s="12" t="n">
        <f aca="false">IF($D12="N/A","-",IF($D12=$E12,1,0))</f>
        <v>1</v>
      </c>
    </row>
    <row r="13" customFormat="false" ht="15" hidden="false" customHeight="false" outlineLevel="0" collapsed="false">
      <c r="A13" s="8" t="s">
        <v>78</v>
      </c>
      <c r="B13" s="4" t="s">
        <v>79</v>
      </c>
      <c r="C13" s="8" t="s">
        <v>58</v>
      </c>
      <c r="D13" s="8" t="s">
        <v>75</v>
      </c>
      <c r="E13" s="8" t="s">
        <v>75</v>
      </c>
      <c r="F13" s="8" t="n">
        <v>88</v>
      </c>
      <c r="G13" s="12" t="n">
        <f aca="false">IF($D13="N/A","-",IF($D13=$E13,1,0))</f>
        <v>1</v>
      </c>
    </row>
    <row r="14" customFormat="false" ht="15" hidden="false" customHeight="false" outlineLevel="0" collapsed="false">
      <c r="A14" s="8" t="s">
        <v>80</v>
      </c>
      <c r="B14" s="4" t="s">
        <v>81</v>
      </c>
      <c r="C14" s="8" t="s">
        <v>82</v>
      </c>
      <c r="D14" s="8" t="s">
        <v>66</v>
      </c>
      <c r="E14" s="8" t="s">
        <v>75</v>
      </c>
      <c r="F14" s="8" t="n">
        <v>50</v>
      </c>
      <c r="G14" s="13" t="n">
        <f aca="false">IF($D14="N/A","-",IF($D14=$E14,1,0))</f>
        <v>0</v>
      </c>
    </row>
    <row r="15" customFormat="false" ht="15" hidden="false" customHeight="false" outlineLevel="0" collapsed="false">
      <c r="A15" s="8" t="s">
        <v>83</v>
      </c>
      <c r="B15" s="4" t="s">
        <v>84</v>
      </c>
      <c r="C15" s="8" t="s">
        <v>82</v>
      </c>
      <c r="D15" s="8" t="s">
        <v>66</v>
      </c>
      <c r="E15" s="8" t="s">
        <v>66</v>
      </c>
      <c r="F15" s="8" t="n">
        <v>72</v>
      </c>
      <c r="G15" s="12" t="n">
        <f aca="false">IF($D15="N/A","-",IF($D15=$E15,1,0))</f>
        <v>1</v>
      </c>
    </row>
    <row r="16" customFormat="false" ht="15" hidden="false" customHeight="false" outlineLevel="0" collapsed="false">
      <c r="A16" s="14" t="s">
        <v>85</v>
      </c>
      <c r="B16" s="15" t="s">
        <v>86</v>
      </c>
      <c r="C16" s="14" t="s">
        <v>87</v>
      </c>
      <c r="D16" s="14" t="s">
        <v>88</v>
      </c>
      <c r="E16" s="14" t="s">
        <v>75</v>
      </c>
      <c r="F16" s="14" t="n">
        <v>3</v>
      </c>
      <c r="G16" s="14" t="str">
        <f aca="false">IF($D16="N/A","-",IF($D16=$E16,1,0))</f>
        <v>-</v>
      </c>
    </row>
    <row r="17" customFormat="false" ht="15" hidden="false" customHeight="false" outlineLevel="0" collapsed="false">
      <c r="A17" s="9" t="s">
        <v>89</v>
      </c>
    </row>
    <row r="19" customFormat="false" ht="19.5" hidden="false" customHeight="true" outlineLevel="0" collapsed="false">
      <c r="A19" s="5" t="s">
        <v>90</v>
      </c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16" t="s">
        <v>91</v>
      </c>
      <c r="B20" s="8" t="n">
        <f aca="false">COUNTA($D$5:$D$16)-COUNTIF($D$5:$D$16,"N/A")</f>
        <v>11</v>
      </c>
    </row>
    <row r="21" customFormat="false" ht="15" hidden="false" customHeight="false" outlineLevel="0" collapsed="false">
      <c r="A21" s="16" t="s">
        <v>92</v>
      </c>
      <c r="B21" s="8" t="n">
        <f aca="false">SUM($G$5:$G$16)</f>
        <v>10</v>
      </c>
    </row>
    <row r="22" customFormat="false" ht="15" hidden="false" customHeight="false" outlineLevel="0" collapsed="false">
      <c r="A22" s="16" t="s">
        <v>93</v>
      </c>
      <c r="B22" s="8" t="n">
        <f aca="false">$B$20-$B$21</f>
        <v>1</v>
      </c>
    </row>
    <row r="23" customFormat="false" ht="15" hidden="false" customHeight="false" outlineLevel="0" collapsed="false">
      <c r="A23" s="17" t="s">
        <v>94</v>
      </c>
      <c r="B23" s="11" t="n">
        <f aca="false">IFERROR($B$21/$B$20,0)</f>
        <v>0.909090909090909</v>
      </c>
    </row>
    <row r="24" customFormat="false" ht="15" hidden="false" customHeight="false" outlineLevel="0" collapsed="false">
      <c r="A24" s="9" t="s">
        <v>95</v>
      </c>
    </row>
    <row r="26" customFormat="false" ht="19.5" hidden="false" customHeight="true" outlineLevel="0" collapsed="false">
      <c r="A26" s="5" t="s">
        <v>96</v>
      </c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9" t="s">
        <v>97</v>
      </c>
    </row>
    <row r="28" customFormat="false" ht="15" hidden="false" customHeight="false" outlineLevel="0" collapsed="false">
      <c r="A28" s="7" t="s">
        <v>98</v>
      </c>
      <c r="B28" s="7" t="s">
        <v>59</v>
      </c>
      <c r="C28" s="7" t="s">
        <v>66</v>
      </c>
      <c r="D28" s="7" t="s">
        <v>75</v>
      </c>
      <c r="E28" s="7" t="s">
        <v>99</v>
      </c>
    </row>
    <row r="29" customFormat="false" ht="15" hidden="false" customHeight="false" outlineLevel="0" collapsed="false">
      <c r="A29" s="7" t="s">
        <v>59</v>
      </c>
      <c r="B29" s="18" t="n">
        <f aca="false">COUNTIFS($D$5:$D$16,$A29,$E$5:$E$16,B$28)</f>
        <v>3</v>
      </c>
      <c r="C29" s="19" t="n">
        <f aca="false">COUNTIFS($D$5:$D$16,$A29,$E$5:$E$16,C$28)</f>
        <v>0</v>
      </c>
      <c r="D29" s="19" t="n">
        <f aca="false">COUNTIFS($D$5:$D$16,$A29,$E$5:$E$16,D$28)</f>
        <v>0</v>
      </c>
      <c r="E29" s="8" t="n">
        <f aca="false">SUM(B29:D29)</f>
        <v>3</v>
      </c>
    </row>
    <row r="30" customFormat="false" ht="15" hidden="false" customHeight="false" outlineLevel="0" collapsed="false">
      <c r="A30" s="7" t="s">
        <v>66</v>
      </c>
      <c r="B30" s="19" t="n">
        <f aca="false">COUNTIFS($D$5:$D$16,$A30,$E$5:$E$16,B$28)</f>
        <v>0</v>
      </c>
      <c r="C30" s="18" t="n">
        <f aca="false">COUNTIFS($D$5:$D$16,$A30,$E$5:$E$16,C$28)</f>
        <v>4</v>
      </c>
      <c r="D30" s="19" t="n">
        <f aca="false">COUNTIFS($D$5:$D$16,$A30,$E$5:$E$16,D$28)</f>
        <v>1</v>
      </c>
      <c r="E30" s="8" t="n">
        <f aca="false">SUM(B30:D30)</f>
        <v>5</v>
      </c>
    </row>
    <row r="31" customFormat="false" ht="15" hidden="false" customHeight="false" outlineLevel="0" collapsed="false">
      <c r="A31" s="7" t="s">
        <v>75</v>
      </c>
      <c r="B31" s="19" t="n">
        <f aca="false">COUNTIFS($D$5:$D$16,$A31,$E$5:$E$16,B$28)</f>
        <v>0</v>
      </c>
      <c r="C31" s="19" t="n">
        <f aca="false">COUNTIFS($D$5:$D$16,$A31,$E$5:$E$16,C$28)</f>
        <v>0</v>
      </c>
      <c r="D31" s="18" t="n">
        <f aca="false">COUNTIFS($D$5:$D$16,$A31,$E$5:$E$16,D$28)</f>
        <v>3</v>
      </c>
      <c r="E31" s="8" t="n">
        <f aca="false">SUM(B31:D31)</f>
        <v>3</v>
      </c>
    </row>
    <row r="32" customFormat="false" ht="15" hidden="false" customHeight="false" outlineLevel="0" collapsed="false">
      <c r="A32" s="7" t="s">
        <v>100</v>
      </c>
      <c r="B32" s="8" t="n">
        <f aca="false">SUM(B29:B31)</f>
        <v>3</v>
      </c>
      <c r="C32" s="8" t="n">
        <f aca="false">SUM(C29:C31)</f>
        <v>4</v>
      </c>
      <c r="D32" s="8" t="n">
        <f aca="false">SUM(D29:D31)</f>
        <v>4</v>
      </c>
      <c r="E32" s="20" t="n">
        <f aca="false">SUM(B32:D32)</f>
        <v>11</v>
      </c>
    </row>
    <row r="34" customFormat="false" ht="19.5" hidden="false" customHeight="true" outlineLevel="0" collapsed="false">
      <c r="A34" s="5" t="s">
        <v>101</v>
      </c>
      <c r="B34" s="6"/>
      <c r="C34" s="6"/>
      <c r="D34" s="6"/>
      <c r="E34" s="6"/>
      <c r="F34" s="6"/>
      <c r="G34" s="6"/>
    </row>
    <row r="35" customFormat="false" ht="15" hidden="false" customHeight="false" outlineLevel="0" collapsed="false">
      <c r="A35" s="7" t="s">
        <v>102</v>
      </c>
      <c r="B35" s="7" t="s">
        <v>103</v>
      </c>
      <c r="C35" s="7" t="s">
        <v>104</v>
      </c>
      <c r="D35" s="7" t="s">
        <v>105</v>
      </c>
      <c r="E35" s="7" t="s">
        <v>106</v>
      </c>
      <c r="F35" s="7" t="s">
        <v>107</v>
      </c>
      <c r="G35" s="7" t="s">
        <v>108</v>
      </c>
    </row>
    <row r="36" customFormat="false" ht="15" hidden="false" customHeight="false" outlineLevel="0" collapsed="false">
      <c r="A36" s="4" t="s">
        <v>59</v>
      </c>
      <c r="B36" s="8" t="n">
        <f aca="false">B29</f>
        <v>3</v>
      </c>
      <c r="C36" s="8" t="n">
        <f aca="false">SUM(B29:B31)-B29</f>
        <v>0</v>
      </c>
      <c r="D36" s="8" t="n">
        <f aca="false">SUM(B29:D29)-B29</f>
        <v>0</v>
      </c>
      <c r="E36" s="21" t="n">
        <f aca="false">IFERROR($B36/($B36+$C36),0)</f>
        <v>1</v>
      </c>
      <c r="F36" s="21" t="n">
        <f aca="false">IFERROR($B36/($B36+$D36),0)</f>
        <v>1</v>
      </c>
      <c r="G36" s="22" t="n">
        <f aca="false">IFERROR(2*$E36*$F36/($E36+$F36),0)</f>
        <v>1</v>
      </c>
    </row>
    <row r="37" customFormat="false" ht="15" hidden="false" customHeight="false" outlineLevel="0" collapsed="false">
      <c r="A37" s="4" t="s">
        <v>66</v>
      </c>
      <c r="B37" s="8" t="n">
        <f aca="false">C30</f>
        <v>4</v>
      </c>
      <c r="C37" s="8" t="n">
        <f aca="false">SUM(C29:C31)-C30</f>
        <v>0</v>
      </c>
      <c r="D37" s="8" t="n">
        <f aca="false">SUM(B30:D30)-C30</f>
        <v>1</v>
      </c>
      <c r="E37" s="21" t="n">
        <f aca="false">IFERROR($B37/($B37+$C37),0)</f>
        <v>1</v>
      </c>
      <c r="F37" s="21" t="n">
        <f aca="false">IFERROR($B37/($B37+$D37),0)</f>
        <v>0.8</v>
      </c>
      <c r="G37" s="22" t="n">
        <f aca="false">IFERROR(2*$E37*$F37/($E37+$F37),0)</f>
        <v>0.888888888888889</v>
      </c>
    </row>
    <row r="38" customFormat="false" ht="15" hidden="false" customHeight="false" outlineLevel="0" collapsed="false">
      <c r="A38" s="4" t="s">
        <v>75</v>
      </c>
      <c r="B38" s="8" t="n">
        <f aca="false">D31</f>
        <v>3</v>
      </c>
      <c r="C38" s="8" t="n">
        <f aca="false">SUM(D29:D31)-D31</f>
        <v>1</v>
      </c>
      <c r="D38" s="8" t="n">
        <f aca="false">SUM(B31:D31)-D31</f>
        <v>0</v>
      </c>
      <c r="E38" s="21" t="n">
        <f aca="false">IFERROR($B38/($B38+$C38),0)</f>
        <v>0.75</v>
      </c>
      <c r="F38" s="21" t="n">
        <f aca="false">IFERROR($B38/($B38+$D38),0)</f>
        <v>1</v>
      </c>
      <c r="G38" s="22" t="n">
        <f aca="false">IFERROR(2*$E38*$F38/($E38+$F38),0)</f>
        <v>0.857142857142857</v>
      </c>
    </row>
    <row r="39" customFormat="false" ht="15" hidden="false" customHeight="false" outlineLevel="0" collapsed="false">
      <c r="A39" s="17" t="s">
        <v>109</v>
      </c>
      <c r="B39" s="23" t="n">
        <f aca="false">SUM(B36:B38)</f>
        <v>10</v>
      </c>
      <c r="C39" s="23" t="n">
        <f aca="false">SUM(C36:C38)</f>
        <v>1</v>
      </c>
      <c r="D39" s="23" t="n">
        <f aca="false">SUM(D36:D38)</f>
        <v>1</v>
      </c>
      <c r="E39" s="11" t="n">
        <f aca="false">AVERAGE(E36:E38)</f>
        <v>0.916666666666667</v>
      </c>
      <c r="F39" s="11" t="n">
        <f aca="false">AVERAGE(F36:F38)</f>
        <v>0.933333333333333</v>
      </c>
      <c r="G39" s="24" t="n">
        <f aca="false">AVERAGE(G36:G38)</f>
        <v>0.915343915343915</v>
      </c>
    </row>
    <row r="40" customFormat="false" ht="15" hidden="false" customHeight="false" outlineLevel="0" collapsed="false">
      <c r="A40" s="9" t="s">
        <v>110</v>
      </c>
    </row>
    <row r="42" customFormat="false" ht="19.5" hidden="false" customHeight="true" outlineLevel="0" collapsed="false">
      <c r="A42" s="5" t="s">
        <v>111</v>
      </c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16" t="s">
        <v>112</v>
      </c>
      <c r="B43" s="25" t="n">
        <f aca="false">IFERROR(SUMIF($G$5:$G$16,1,$F$5:$F$16)/COUNTIF($G$5:$G$16,1),0)</f>
        <v>84.1</v>
      </c>
    </row>
    <row r="44" customFormat="false" ht="15" hidden="false" customHeight="false" outlineLevel="0" collapsed="false">
      <c r="A44" s="16" t="s">
        <v>113</v>
      </c>
      <c r="B44" s="25" t="n">
        <f aca="false">IFERROR(SUMIF($G$5:$G$16,0,$F$5:$F$16)/COUNTIF($G$5:$G$16,0),0)</f>
        <v>50</v>
      </c>
    </row>
    <row r="45" customFormat="false" ht="15" hidden="false" customHeight="false" outlineLevel="0" collapsed="false">
      <c r="A45" s="16" t="s">
        <v>114</v>
      </c>
      <c r="B45" s="25" t="n">
        <f aca="false">$B$43-$B$44</f>
        <v>34.1</v>
      </c>
    </row>
    <row r="46" customFormat="false" ht="15" hidden="false" customHeight="false" outlineLevel="0" collapsed="false">
      <c r="A46" s="16" t="s">
        <v>115</v>
      </c>
      <c r="B46" s="25" t="n">
        <f aca="false">IFERROR(SUMIF($D$5:$D$16,"&lt;&gt;N/A",$F$5:$F$16)/COUNTIF($D$5:$D$16,"&lt;&gt;N/A"),0)</f>
        <v>81</v>
      </c>
    </row>
    <row r="47" customFormat="false" ht="15" hidden="false" customHeight="false" outlineLevel="0" collapsed="false">
      <c r="A47" s="16" t="s">
        <v>116</v>
      </c>
      <c r="B47" s="25" t="n">
        <f aca="false">$F$16</f>
        <v>3</v>
      </c>
    </row>
    <row r="48" customFormat="false" ht="15" hidden="false" customHeight="false" outlineLevel="0" collapsed="false">
      <c r="A48" s="9" t="s">
        <v>117</v>
      </c>
    </row>
    <row r="50" customFormat="false" ht="15" hidden="false" customHeight="false" outlineLevel="0" collapsed="false">
      <c r="A50" s="26" t="s">
        <v>118</v>
      </c>
    </row>
    <row r="51" customFormat="false" ht="15" hidden="false" customHeight="true" outlineLevel="0" collapsed="false">
      <c r="A51" s="27" t="s">
        <v>125</v>
      </c>
      <c r="B51" s="27"/>
      <c r="C51" s="27"/>
      <c r="D51" s="27"/>
      <c r="E51" s="27"/>
      <c r="F51" s="27"/>
      <c r="G51" s="27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</row>
  </sheetData>
  <mergeCells count="1">
    <mergeCell ref="A51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6" min="4" style="0" width="16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126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A3" s="5" t="s">
        <v>127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7" t="s">
        <v>49</v>
      </c>
      <c r="B4" s="7" t="s">
        <v>51</v>
      </c>
      <c r="C4" s="7" t="s">
        <v>52</v>
      </c>
      <c r="D4" s="7" t="s">
        <v>29</v>
      </c>
      <c r="E4" s="7" t="s">
        <v>33</v>
      </c>
      <c r="F4" s="7" t="s">
        <v>37</v>
      </c>
      <c r="G4" s="7" t="s">
        <v>128</v>
      </c>
    </row>
    <row r="5" customFormat="false" ht="15" hidden="false" customHeight="false" outlineLevel="0" collapsed="false">
      <c r="A5" s="8" t="s">
        <v>56</v>
      </c>
      <c r="B5" s="4" t="s">
        <v>58</v>
      </c>
      <c r="C5" s="8" t="s">
        <v>59</v>
      </c>
      <c r="D5" s="8" t="s">
        <v>129</v>
      </c>
      <c r="E5" s="8" t="s">
        <v>129</v>
      </c>
      <c r="F5" s="8" t="s">
        <v>130</v>
      </c>
      <c r="G5" s="4" t="s">
        <v>131</v>
      </c>
    </row>
    <row r="6" customFormat="false" ht="15" hidden="false" customHeight="false" outlineLevel="0" collapsed="false">
      <c r="A6" s="8" t="s">
        <v>60</v>
      </c>
      <c r="B6" s="4" t="s">
        <v>58</v>
      </c>
      <c r="C6" s="8" t="s">
        <v>59</v>
      </c>
      <c r="D6" s="8" t="s">
        <v>132</v>
      </c>
      <c r="E6" s="8" t="s">
        <v>133</v>
      </c>
      <c r="F6" s="8" t="s">
        <v>133</v>
      </c>
      <c r="G6" s="4" t="s">
        <v>131</v>
      </c>
    </row>
    <row r="7" customFormat="false" ht="15" hidden="false" customHeight="false" outlineLevel="0" collapsed="false">
      <c r="A7" s="8" t="s">
        <v>62</v>
      </c>
      <c r="B7" s="4" t="s">
        <v>58</v>
      </c>
      <c r="C7" s="8" t="s">
        <v>59</v>
      </c>
      <c r="D7" s="8" t="s">
        <v>134</v>
      </c>
      <c r="E7" s="8" t="s">
        <v>135</v>
      </c>
      <c r="F7" s="8" t="s">
        <v>135</v>
      </c>
      <c r="G7" s="4" t="s">
        <v>131</v>
      </c>
    </row>
    <row r="8" customFormat="false" ht="15" hidden="false" customHeight="false" outlineLevel="0" collapsed="false">
      <c r="A8" s="8" t="s">
        <v>64</v>
      </c>
      <c r="B8" s="4" t="s">
        <v>58</v>
      </c>
      <c r="C8" s="8" t="s">
        <v>66</v>
      </c>
      <c r="D8" s="8" t="s">
        <v>136</v>
      </c>
      <c r="E8" s="8" t="s">
        <v>137</v>
      </c>
      <c r="F8" s="8" t="s">
        <v>138</v>
      </c>
      <c r="G8" s="4" t="s">
        <v>131</v>
      </c>
    </row>
    <row r="9" customFormat="false" ht="15" hidden="false" customHeight="false" outlineLevel="0" collapsed="false">
      <c r="A9" s="8" t="s">
        <v>67</v>
      </c>
      <c r="B9" s="4" t="s">
        <v>69</v>
      </c>
      <c r="C9" s="8" t="s">
        <v>66</v>
      </c>
      <c r="D9" s="8" t="s">
        <v>139</v>
      </c>
      <c r="E9" s="8" t="s">
        <v>129</v>
      </c>
      <c r="F9" s="12" t="s">
        <v>138</v>
      </c>
      <c r="G9" s="28" t="s">
        <v>140</v>
      </c>
    </row>
    <row r="10" customFormat="false" ht="15" hidden="false" customHeight="false" outlineLevel="0" collapsed="false">
      <c r="A10" s="8" t="s">
        <v>70</v>
      </c>
      <c r="B10" s="4" t="s">
        <v>58</v>
      </c>
      <c r="C10" s="8" t="s">
        <v>66</v>
      </c>
      <c r="D10" s="8" t="s">
        <v>141</v>
      </c>
      <c r="E10" s="8" t="s">
        <v>142</v>
      </c>
      <c r="F10" s="8" t="s">
        <v>143</v>
      </c>
      <c r="G10" s="4" t="s">
        <v>131</v>
      </c>
    </row>
    <row r="11" customFormat="false" ht="15" hidden="false" customHeight="false" outlineLevel="0" collapsed="false">
      <c r="A11" s="8" t="s">
        <v>72</v>
      </c>
      <c r="B11" s="4" t="s">
        <v>74</v>
      </c>
      <c r="C11" s="8" t="s">
        <v>75</v>
      </c>
      <c r="D11" s="8" t="s">
        <v>144</v>
      </c>
      <c r="E11" s="8" t="s">
        <v>145</v>
      </c>
      <c r="F11" s="12" t="s">
        <v>146</v>
      </c>
      <c r="G11" s="28" t="s">
        <v>140</v>
      </c>
    </row>
    <row r="12" customFormat="false" ht="15" hidden="false" customHeight="false" outlineLevel="0" collapsed="false">
      <c r="A12" s="8" t="s">
        <v>76</v>
      </c>
      <c r="B12" s="4" t="s">
        <v>58</v>
      </c>
      <c r="C12" s="8" t="s">
        <v>75</v>
      </c>
      <c r="D12" s="8" t="s">
        <v>147</v>
      </c>
      <c r="E12" s="8" t="s">
        <v>148</v>
      </c>
      <c r="F12" s="8" t="s">
        <v>149</v>
      </c>
      <c r="G12" s="4" t="s">
        <v>131</v>
      </c>
    </row>
    <row r="13" customFormat="false" ht="15" hidden="false" customHeight="false" outlineLevel="0" collapsed="false">
      <c r="A13" s="8" t="s">
        <v>78</v>
      </c>
      <c r="B13" s="4" t="s">
        <v>58</v>
      </c>
      <c r="C13" s="8" t="s">
        <v>75</v>
      </c>
      <c r="D13" s="8" t="s">
        <v>150</v>
      </c>
      <c r="E13" s="8" t="s">
        <v>151</v>
      </c>
      <c r="F13" s="8" t="s">
        <v>151</v>
      </c>
      <c r="G13" s="4" t="s">
        <v>131</v>
      </c>
    </row>
    <row r="14" customFormat="false" ht="15" hidden="false" customHeight="false" outlineLevel="0" collapsed="false">
      <c r="A14" s="8" t="s">
        <v>80</v>
      </c>
      <c r="B14" s="4" t="s">
        <v>82</v>
      </c>
      <c r="C14" s="8" t="s">
        <v>66</v>
      </c>
      <c r="D14" s="8" t="s">
        <v>152</v>
      </c>
      <c r="E14" s="8" t="s">
        <v>153</v>
      </c>
      <c r="F14" s="8" t="s">
        <v>153</v>
      </c>
      <c r="G14" s="29" t="s">
        <v>154</v>
      </c>
    </row>
    <row r="15" customFormat="false" ht="15" hidden="false" customHeight="false" outlineLevel="0" collapsed="false">
      <c r="A15" s="8" t="s">
        <v>83</v>
      </c>
      <c r="B15" s="4" t="s">
        <v>82</v>
      </c>
      <c r="C15" s="8" t="s">
        <v>66</v>
      </c>
      <c r="D15" s="8" t="s">
        <v>155</v>
      </c>
      <c r="E15" s="8" t="s">
        <v>156</v>
      </c>
      <c r="F15" s="8" t="s">
        <v>157</v>
      </c>
      <c r="G15" s="4" t="s">
        <v>158</v>
      </c>
    </row>
    <row r="16" customFormat="false" ht="23.85" hidden="false" customHeight="false" outlineLevel="0" collapsed="false">
      <c r="A16" s="14" t="s">
        <v>85</v>
      </c>
      <c r="B16" s="15" t="s">
        <v>87</v>
      </c>
      <c r="C16" s="14" t="s">
        <v>88</v>
      </c>
      <c r="D16" s="14" t="s">
        <v>159</v>
      </c>
      <c r="E16" s="14" t="s">
        <v>160</v>
      </c>
      <c r="F16" s="14" t="s">
        <v>161</v>
      </c>
      <c r="G16" s="15" t="s">
        <v>162</v>
      </c>
    </row>
    <row r="18" customFormat="false" ht="19.5" hidden="false" customHeight="true" outlineLevel="0" collapsed="false">
      <c r="A18" s="5" t="s">
        <v>163</v>
      </c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7" t="s">
        <v>164</v>
      </c>
      <c r="B19" s="7" t="s">
        <v>29</v>
      </c>
      <c r="C19" s="7" t="s">
        <v>33</v>
      </c>
      <c r="D19" s="7" t="s">
        <v>37</v>
      </c>
      <c r="E19" s="7" t="s">
        <v>165</v>
      </c>
      <c r="F19" s="7" t="s">
        <v>166</v>
      </c>
    </row>
    <row r="20" customFormat="false" ht="15" hidden="false" customHeight="false" outlineLevel="0" collapsed="false">
      <c r="A20" s="16" t="s">
        <v>167</v>
      </c>
      <c r="B20" s="30" t="n">
        <v>15</v>
      </c>
      <c r="C20" s="30" t="n">
        <v>30</v>
      </c>
      <c r="D20" s="30" t="n">
        <v>40</v>
      </c>
      <c r="E20" s="30" t="n">
        <f aca="false">$C20-$B20</f>
        <v>15</v>
      </c>
      <c r="F20" s="30" t="n">
        <f aca="false">$D20-$C20</f>
        <v>10</v>
      </c>
    </row>
    <row r="21" customFormat="false" ht="15" hidden="false" customHeight="false" outlineLevel="0" collapsed="false">
      <c r="A21" s="16" t="s">
        <v>168</v>
      </c>
      <c r="B21" s="30" t="n">
        <f aca="false">'Phase A'!$B$21</f>
        <v>7</v>
      </c>
      <c r="C21" s="30" t="n">
        <f aca="false">'Phase B'!$B$21</f>
        <v>8</v>
      </c>
      <c r="D21" s="30" t="n">
        <f aca="false">'Step 5'!$B$21</f>
        <v>10</v>
      </c>
      <c r="E21" s="30" t="n">
        <f aca="false">$C21-$B21</f>
        <v>1</v>
      </c>
      <c r="F21" s="30" t="n">
        <f aca="false">$D21-$C21</f>
        <v>2</v>
      </c>
    </row>
    <row r="22" customFormat="false" ht="15" hidden="false" customHeight="false" outlineLevel="0" collapsed="false">
      <c r="A22" s="31" t="s">
        <v>94</v>
      </c>
      <c r="B22" s="32" t="n">
        <f aca="false">'Phase A'!$B$23</f>
        <v>0.636363636363636</v>
      </c>
      <c r="C22" s="32" t="n">
        <f aca="false">'Phase B'!$B$23</f>
        <v>0.727272727272727</v>
      </c>
      <c r="D22" s="32" t="n">
        <f aca="false">'Step 5'!$B$23</f>
        <v>0.909090909090909</v>
      </c>
      <c r="E22" s="32" t="n">
        <f aca="false">$C22-$B22</f>
        <v>0.0909090909090909</v>
      </c>
      <c r="F22" s="32" t="n">
        <f aca="false">$D22-$C22</f>
        <v>0.181818181818182</v>
      </c>
    </row>
    <row r="23" customFormat="false" ht="15" hidden="false" customHeight="false" outlineLevel="0" collapsed="false">
      <c r="A23" s="16" t="s">
        <v>169</v>
      </c>
      <c r="B23" s="21" t="n">
        <f aca="false">'Phase A'!$E$39</f>
        <v>0.638888888888889</v>
      </c>
      <c r="C23" s="21" t="n">
        <f aca="false">'Phase B'!$E$39</f>
        <v>0.722222222222222</v>
      </c>
      <c r="D23" s="21" t="n">
        <f aca="false">'Step 5'!$E$39</f>
        <v>0.916666666666667</v>
      </c>
      <c r="E23" s="21" t="n">
        <f aca="false">$C23-$B23</f>
        <v>0.0833333333333334</v>
      </c>
      <c r="F23" s="21" t="n">
        <f aca="false">$D23-$C23</f>
        <v>0.194444444444444</v>
      </c>
    </row>
    <row r="24" customFormat="false" ht="15" hidden="false" customHeight="false" outlineLevel="0" collapsed="false">
      <c r="A24" s="16" t="s">
        <v>170</v>
      </c>
      <c r="B24" s="21" t="n">
        <f aca="false">'Phase A'!$F$39</f>
        <v>0.688888888888889</v>
      </c>
      <c r="C24" s="21" t="n">
        <f aca="false">'Phase B'!$F$39</f>
        <v>0.755555555555556</v>
      </c>
      <c r="D24" s="21" t="n">
        <f aca="false">'Step 5'!$F$39</f>
        <v>0.933333333333333</v>
      </c>
      <c r="E24" s="21" t="n">
        <f aca="false">$C24-$B24</f>
        <v>0.0666666666666668</v>
      </c>
      <c r="F24" s="21" t="n">
        <f aca="false">$D24-$C24</f>
        <v>0.177777777777778</v>
      </c>
    </row>
    <row r="25" customFormat="false" ht="15" hidden="false" customHeight="false" outlineLevel="0" collapsed="false">
      <c r="A25" s="16" t="s">
        <v>171</v>
      </c>
      <c r="B25" s="22" t="n">
        <f aca="false">'Phase A'!$G$39</f>
        <v>0.642857142857143</v>
      </c>
      <c r="C25" s="22" t="n">
        <f aca="false">'Phase B'!$G$39</f>
        <v>0.73015873015873</v>
      </c>
      <c r="D25" s="22" t="n">
        <f aca="false">'Step 5'!$G$39</f>
        <v>0.915343915343915</v>
      </c>
      <c r="E25" s="22" t="n">
        <f aca="false">$C25-$B25</f>
        <v>0.0873015873015872</v>
      </c>
      <c r="F25" s="22" t="n">
        <f aca="false">$D25-$C25</f>
        <v>0.185185185185185</v>
      </c>
    </row>
    <row r="26" customFormat="false" ht="15" hidden="false" customHeight="false" outlineLevel="0" collapsed="false">
      <c r="A26" s="16" t="s">
        <v>172</v>
      </c>
      <c r="B26" s="25" t="n">
        <f aca="false">'Phase A'!$B$43</f>
        <v>69.5714285714286</v>
      </c>
      <c r="C26" s="25" t="n">
        <f aca="false">'Phase B'!$B$43</f>
        <v>77.125</v>
      </c>
      <c r="D26" s="25" t="n">
        <f aca="false">'Step 5'!$B$43</f>
        <v>84.1</v>
      </c>
      <c r="E26" s="25" t="n">
        <f aca="false">$C26-$B26</f>
        <v>7.55357142857143</v>
      </c>
      <c r="F26" s="25" t="n">
        <f aca="false">$D26-$C26</f>
        <v>6.97499999999999</v>
      </c>
    </row>
    <row r="27" customFormat="false" ht="15" hidden="false" customHeight="false" outlineLevel="0" collapsed="false">
      <c r="A27" s="16" t="s">
        <v>173</v>
      </c>
      <c r="B27" s="25" t="n">
        <f aca="false">'Phase A'!$B$44</f>
        <v>47.75</v>
      </c>
      <c r="C27" s="25" t="n">
        <f aca="false">'Phase B'!$B$44</f>
        <v>57</v>
      </c>
      <c r="D27" s="25" t="n">
        <f aca="false">'Step 5'!$B$44</f>
        <v>50</v>
      </c>
      <c r="E27" s="25" t="n">
        <f aca="false">$C27-$B27</f>
        <v>9.25</v>
      </c>
      <c r="F27" s="25" t="n">
        <f aca="false">$D27-$C27</f>
        <v>-7</v>
      </c>
    </row>
    <row r="28" customFormat="false" ht="15" hidden="false" customHeight="false" outlineLevel="0" collapsed="false">
      <c r="A28" s="16" t="s">
        <v>174</v>
      </c>
      <c r="B28" s="25" t="n">
        <f aca="false">'Phase A'!$B$46</f>
        <v>61.6363636363636</v>
      </c>
      <c r="C28" s="25" t="n">
        <f aca="false">'Phase B'!$B$46</f>
        <v>71.6363636363636</v>
      </c>
      <c r="D28" s="25" t="n">
        <f aca="false">'Step 5'!$B$46</f>
        <v>81</v>
      </c>
      <c r="E28" s="25" t="n">
        <f aca="false">$C28-$B28</f>
        <v>10</v>
      </c>
      <c r="F28" s="25" t="n">
        <f aca="false">$D28-$C28</f>
        <v>9.36363636363636</v>
      </c>
    </row>
    <row r="29" customFormat="false" ht="15" hidden="false" customHeight="false" outlineLevel="0" collapsed="false">
      <c r="A29" s="16" t="s">
        <v>175</v>
      </c>
      <c r="B29" s="25" t="n">
        <f aca="false">'Phase A'!$B$47</f>
        <v>6</v>
      </c>
      <c r="C29" s="25" t="n">
        <f aca="false">'Phase B'!$B$47</f>
        <v>5</v>
      </c>
      <c r="D29" s="25" t="n">
        <f aca="false">'Step 5'!$B$47</f>
        <v>3</v>
      </c>
      <c r="E29" s="25" t="n">
        <f aca="false">$C29-$B29</f>
        <v>-1</v>
      </c>
      <c r="F29" s="25" t="n">
        <f aca="false">$D29-$C29</f>
        <v>-2</v>
      </c>
    </row>
    <row r="31" customFormat="false" ht="19.5" hidden="false" customHeight="true" outlineLevel="0" collapsed="false">
      <c r="A31" s="5" t="s">
        <v>176</v>
      </c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7" t="s">
        <v>177</v>
      </c>
      <c r="B32" s="7" t="s">
        <v>178</v>
      </c>
      <c r="C32" s="7" t="s">
        <v>179</v>
      </c>
      <c r="D32" s="7" t="s">
        <v>29</v>
      </c>
      <c r="E32" s="7" t="s">
        <v>33</v>
      </c>
      <c r="F32" s="7" t="s">
        <v>37</v>
      </c>
      <c r="G32" s="7" t="s">
        <v>180</v>
      </c>
    </row>
    <row r="33" customFormat="false" ht="23.85" hidden="false" customHeight="false" outlineLevel="0" collapsed="false">
      <c r="A33" s="8" t="s">
        <v>67</v>
      </c>
      <c r="B33" s="4" t="s">
        <v>181</v>
      </c>
      <c r="C33" s="4" t="s">
        <v>182</v>
      </c>
      <c r="D33" s="8" t="s">
        <v>139</v>
      </c>
      <c r="E33" s="8" t="s">
        <v>129</v>
      </c>
      <c r="F33" s="8" t="s">
        <v>138</v>
      </c>
      <c r="G33" s="12" t="s">
        <v>183</v>
      </c>
    </row>
    <row r="34" customFormat="false" ht="23.85" hidden="false" customHeight="false" outlineLevel="0" collapsed="false">
      <c r="A34" s="8" t="s">
        <v>72</v>
      </c>
      <c r="B34" s="4" t="s">
        <v>184</v>
      </c>
      <c r="C34" s="4" t="s">
        <v>185</v>
      </c>
      <c r="D34" s="8" t="s">
        <v>144</v>
      </c>
      <c r="E34" s="8" t="s">
        <v>145</v>
      </c>
      <c r="F34" s="8" t="s">
        <v>146</v>
      </c>
      <c r="G34" s="12" t="s">
        <v>183</v>
      </c>
    </row>
    <row r="35" customFormat="false" ht="23.85" hidden="false" customHeight="false" outlineLevel="0" collapsed="false">
      <c r="A35" s="8" t="s">
        <v>80</v>
      </c>
      <c r="B35" s="4" t="s">
        <v>186</v>
      </c>
      <c r="C35" s="4" t="s">
        <v>187</v>
      </c>
      <c r="D35" s="8" t="s">
        <v>152</v>
      </c>
      <c r="E35" s="8" t="s">
        <v>153</v>
      </c>
      <c r="F35" s="8" t="s">
        <v>153</v>
      </c>
      <c r="G35" s="13" t="s">
        <v>188</v>
      </c>
    </row>
    <row r="36" customFormat="false" ht="23.85" hidden="false" customHeight="false" outlineLevel="0" collapsed="false">
      <c r="A36" s="8" t="s">
        <v>83</v>
      </c>
      <c r="B36" s="4" t="s">
        <v>189</v>
      </c>
      <c r="C36" s="4" t="s">
        <v>190</v>
      </c>
      <c r="D36" s="8" t="s">
        <v>155</v>
      </c>
      <c r="E36" s="8" t="s">
        <v>156</v>
      </c>
      <c r="F36" s="8" t="s">
        <v>157</v>
      </c>
      <c r="G36" s="12" t="s">
        <v>183</v>
      </c>
    </row>
    <row r="38" customFormat="false" ht="19.5" hidden="false" customHeight="true" outlineLevel="0" collapsed="false">
      <c r="A38" s="5" t="s">
        <v>191</v>
      </c>
      <c r="B38" s="6"/>
      <c r="C38" s="6"/>
      <c r="D38" s="6"/>
      <c r="E38" s="6"/>
      <c r="F38" s="6"/>
      <c r="G38" s="6"/>
    </row>
    <row r="39" customFormat="false" ht="15" hidden="false" customHeight="true" outlineLevel="0" collapsed="false">
      <c r="A39" s="33" t="s">
        <v>192</v>
      </c>
      <c r="B39" s="33"/>
      <c r="C39" s="33"/>
      <c r="D39" s="33"/>
      <c r="E39" s="33"/>
      <c r="F39" s="33"/>
      <c r="G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</row>
    <row r="41" customFormat="false" ht="15" hidden="false" customHeight="true" outlineLevel="0" collapsed="false">
      <c r="A41" s="33" t="s">
        <v>193</v>
      </c>
      <c r="B41" s="33"/>
      <c r="C41" s="33"/>
      <c r="D41" s="33"/>
      <c r="E41" s="33"/>
      <c r="F41" s="33"/>
      <c r="G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</row>
    <row r="43" customFormat="false" ht="15" hidden="false" customHeight="true" outlineLevel="0" collapsed="false">
      <c r="A43" s="33" t="s">
        <v>194</v>
      </c>
      <c r="B43" s="33"/>
      <c r="C43" s="33"/>
      <c r="D43" s="33"/>
      <c r="E43" s="33"/>
      <c r="F43" s="33"/>
      <c r="G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</row>
    <row r="45" customFormat="false" ht="15" hidden="false" customHeight="true" outlineLevel="0" collapsed="false">
      <c r="A45" s="33" t="s">
        <v>195</v>
      </c>
      <c r="B45" s="33"/>
      <c r="C45" s="33"/>
      <c r="D45" s="33"/>
      <c r="E45" s="33"/>
      <c r="F45" s="33"/>
      <c r="G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</row>
    <row r="47" customFormat="false" ht="15" hidden="false" customHeight="true" outlineLevel="0" collapsed="false">
      <c r="A47" s="33" t="s">
        <v>196</v>
      </c>
      <c r="B47" s="33"/>
      <c r="C47" s="33"/>
      <c r="D47" s="33"/>
      <c r="E47" s="33"/>
      <c r="F47" s="33"/>
      <c r="G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</row>
    <row r="49" customFormat="false" ht="15" hidden="false" customHeight="true" outlineLevel="0" collapsed="false">
      <c r="A49" s="33" t="s">
        <v>197</v>
      </c>
      <c r="B49" s="33"/>
      <c r="C49" s="33"/>
      <c r="D49" s="33"/>
      <c r="E49" s="33"/>
      <c r="F49" s="33"/>
      <c r="G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3"/>
    </row>
  </sheetData>
  <mergeCells count="6">
    <mergeCell ref="A39:G40"/>
    <mergeCell ref="A41:G42"/>
    <mergeCell ref="A43:G44"/>
    <mergeCell ref="A45:G46"/>
    <mergeCell ref="A47:G48"/>
    <mergeCell ref="A49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2026-07-27T13:47:43Z</dcterms:created>
  <dc:creator>openpyxl</dc:creator>
  <dc:description/>
  <dc:language>en-US</dc:language>
  <cp:lastModifiedBy/>
  <dcterms:modified xsi:type="dcterms:W3CDTF">2026-07-27T13:47:43Z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