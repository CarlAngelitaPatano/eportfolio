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ublic\Downloads\"/>
    </mc:Choice>
  </mc:AlternateContent>
  <xr:revisionPtr revIDLastSave="0" documentId="13_ncr:1_{6C4A9E8A-0FD6-41A6-9E76-A54241898C8A}" xr6:coauthVersionLast="47" xr6:coauthVersionMax="47" xr10:uidLastSave="{00000000-0000-0000-0000-000000000000}"/>
  <bookViews>
    <workbookView xWindow="-108" yWindow="-108" windowWidth="23256" windowHeight="13176" tabRatio="500" firstSheet="1" activeTab="3" xr2:uid="{00000000-000D-0000-FFFF-FFFF00000000}"/>
  </bookViews>
  <sheets>
    <sheet name="FFBP Training Log" sheetId="1" r:id="rId1"/>
    <sheet name="Champion Evaluation" sheetId="2" r:id="rId2"/>
    <sheet name="PT-P1 Cross-Eval Detail" sheetId="3" r:id="rId3"/>
    <sheet name="Legend &amp; Metho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1" i="3" l="1"/>
  <c r="C20" i="3"/>
  <c r="C22" i="3" s="1"/>
  <c r="C18" i="3"/>
  <c r="D11" i="2"/>
  <c r="B11" i="2"/>
  <c r="AF9" i="1"/>
  <c r="AF8" i="1"/>
  <c r="AF7" i="1"/>
  <c r="AF6" i="1"/>
  <c r="AF5" i="1"/>
  <c r="AF4" i="1"/>
  <c r="AF3" i="1"/>
</calcChain>
</file>

<file path=xl/sharedStrings.xml><?xml version="1.0" encoding="utf-8"?>
<sst xmlns="http://schemas.openxmlformats.org/spreadsheetml/2006/main" count="295" uniqueCount="194">
  <si>
    <t>Run ID</t>
  </si>
  <si>
    <t>Date</t>
  </si>
  <si>
    <t>Dataset</t>
  </si>
  <si>
    <t>Input Features</t>
  </si>
  <si>
    <t>Hidden Layers</t>
  </si>
  <si>
    <t>Neurons per Layer</t>
  </si>
  <si>
    <t>Output Neurons</t>
  </si>
  <si>
    <t>Activation Function</t>
  </si>
  <si>
    <t>Learning Rate</t>
  </si>
  <si>
    <t>Optimizer</t>
  </si>
  <si>
    <t>Loss Function</t>
  </si>
  <si>
    <t>Epochs</t>
  </si>
  <si>
    <t>Batch Size</t>
  </si>
  <si>
    <t>Train Loss</t>
  </si>
  <si>
    <t>Validation Loss</t>
  </si>
  <si>
    <t>Train Accuracy (%)</t>
  </si>
  <si>
    <t>Validation Accuracy (%)</t>
  </si>
  <si>
    <t>Precision</t>
  </si>
  <si>
    <t>Recall</t>
  </si>
  <si>
    <t>F1-Score</t>
  </si>
  <si>
    <t>Training Time (min)</t>
  </si>
  <si>
    <t>Early Stopping Epoch</t>
  </si>
  <si>
    <t>Random Seed</t>
  </si>
  <si>
    <t>Status</t>
  </si>
  <si>
    <t>Notes</t>
  </si>
  <si>
    <t>Embed Dim</t>
  </si>
  <si>
    <t>Dropout Rate</t>
  </si>
  <si>
    <t>Weight Decay</t>
  </si>
  <si>
    <t>F1 Macro</t>
  </si>
  <si>
    <t>ROC-AUC</t>
  </si>
  <si>
    <t>Best Epoch</t>
  </si>
  <si>
    <t>Loss Gap (Val-Train)</t>
  </si>
  <si>
    <t>Epochs Run</t>
  </si>
  <si>
    <t>Vocab Size</t>
  </si>
  <si>
    <t>Train/Val/Test</t>
  </si>
  <si>
    <t>Diagnosis</t>
  </si>
  <si>
    <t>PT-P1-BENCHMARK</t>
  </si>
  <si>
    <t>2026-07-27</t>
  </si>
  <si>
    <t>PT-P1 no-code</t>
  </si>
  <si>
    <t>n/a</t>
  </si>
  <si>
    <t>n/a (platform)</t>
  </si>
  <si>
    <t>n/a (macro only)</t>
  </si>
  <si>
    <t>Benchmark</t>
  </si>
  <si>
    <t>Machine Learning for Kids, Step 5 model, 40 training examples (12/15/13). Scored on 11 held-out phrases (T12 excluded, no valid class). Macro averaging. Source: PTP1_Performance_Computations.xlsx, sheet "Step 5". THIS IS THE TARGET TO BEAT.</t>
  </si>
  <si>
    <t>EXP-01-KERAS-BASELINE</t>
  </si>
  <si>
    <t>2026-08-08</t>
  </si>
  <si>
    <t>original</t>
  </si>
  <si>
    <t>ReLU / Softmax</t>
  </si>
  <si>
    <t>Adam</t>
  </si>
  <si>
    <t>sparse_categorical_crossentropy</t>
  </si>
  <si>
    <t>not instrumented</t>
  </si>
  <si>
    <t>n/a (disabled)</t>
  </si>
  <si>
    <t>Completed</t>
  </si>
  <si>
    <t>Val loss rose from epoch 1; best epoch 1/15. Val acc 16.67% is BELOW the 33.3% chance level for 3 classes. Confusion matrix collapsed to majority-class guessing. 28 train samples &lt; batch size 32, so only 1 batch/epoch = 15 weight updates total.</t>
  </si>
  <si>
    <t>28/6/6</t>
  </si>
  <si>
    <t>Overfitting (data starvation)</t>
  </si>
  <si>
    <t>EXP-01B-EXPANDED-DATA</t>
  </si>
  <si>
    <t>expanded</t>
  </si>
  <si>
    <t>Only variable changed vs EXP-01 is dataset size (40 -&gt; 225 rows). Val loss fell monotonically 1.0765 -&gt; 0.1200. Beats PT-P1 benchmark on both weighted and macro F1.</t>
  </si>
  <si>
    <t>157/34/34</t>
  </si>
  <si>
    <t>Good fit</t>
  </si>
  <si>
    <t>EXP-02-UNDERFIT</t>
  </si>
  <si>
    <t>Both losses parked at ~1.086 vs ln(3)=1.0986 (exact chance). Train acc 71.34% at chance-level loss: softmax near-uniform, argmax correct by a hair. Demonstrates accuracy alone is not diagnostic. NOTE: 3 variables changed at once (per exercise spec) - inducing a condition, not attributing a cause.</t>
  </si>
  <si>
    <t>Underfitting</t>
  </si>
  <si>
    <t>EXP-03-OVERFIT</t>
  </si>
  <si>
    <t>Train loss 0.0000, gap 1.0842, best epoch 2/15. HIGHEST macro F1 (0.9410) of all runs yet WORST loss and ROC-AUC of the good runs - maximally overconfident, so errors cost enormous loss. Rejected as champion on loss and AUC despite top F1.</t>
  </si>
  <si>
    <t>Overfitting (severe)</t>
  </si>
  <si>
    <t>EXP-04-REGULARIZED</t>
  </si>
  <si>
    <t>Dropout 0.4 cut the gap from 1.0842 to 0.1373 (8x) and restored ROC-AUC to 0.9987, but predictions are IDENTICAL to EXP-01B. Regularisation bought calibration, not correctness. Best epoch moved 2 -&gt; 13.</t>
  </si>
  <si>
    <t>EXP-05-EXTENDED-TRAINING</t>
  </si>
  <si>
    <t>CHAMPION. Lowest val loss (0.1067) of all runs. Early stopping halted at 56/60, restored weights from epoch 48. Confirms EXP-01B stopped too early (best epoch was 15/15). Metrics are from epoch 48, not 56 (restore_best_weights=True).</t>
  </si>
  <si>
    <t>Good fit - CHAMPION</t>
  </si>
  <si>
    <t>EXP-05B-WEIGHT-DECAY</t>
  </si>
  <si>
    <t>Only variable changed vs EXP-05 is weight_decay (0.0 -&gt; 1e-4): the sole clean single-variable comparison in the series. L2 raised train loss 74x (0.0001 -&gt; 0.0074) but val loss got slightly WORSE and every prediction was identical. Documented null result.</t>
  </si>
  <si>
    <t>Good fit - null result</t>
  </si>
  <si>
    <t>Champion Model — EXP-05-EXTENDED-TRAINING</t>
  </si>
  <si>
    <t>Champion selected on lowest VALIDATION loss (0.1067), before any test set was consulted. Three evaluations of the same weights are reported below; they do not agree, and that disagreement is the finding.</t>
  </si>
  <si>
    <t>Evaluation Set</t>
  </si>
  <si>
    <t>n</t>
  </si>
  <si>
    <t>Accuracy</t>
  </si>
  <si>
    <t>F1</t>
  </si>
  <si>
    <t>Averaging</t>
  </si>
  <si>
    <t>What it measures</t>
  </si>
  <si>
    <t>Validation split</t>
  </si>
  <si>
    <t>macro</t>
  </si>
  <si>
    <t>Used for tuning, so not independent — hyperparameter choices were made by reading it.</t>
  </si>
  <si>
    <t>Held-out test split (champion)</t>
  </si>
  <si>
    <t>weighted</t>
  </si>
  <si>
    <t>EXP-05 champion. 33 of 34 correct; the single error is one Negative_Complaint predicted as Positive_Praise. Generalisation gap -2.94 pts (test scored ABOVE validation). Never used for tuning, but drawn from the same paraphrase templates as training.</t>
  </si>
  <si>
    <t>Held-out test split (EXP-01B)</t>
  </si>
  <si>
    <t>Run in error before the champion configuration was restored in Section 2. Disclosed, not hidden. EXP-01B scored HIGHER on test than the champion despite identical validation predictions — see note 6.</t>
  </si>
  <si>
    <t>PT-P1 fixed test set</t>
  </si>
  <si>
    <t>Written before this dataset existed, to probe negation, sarcasm and the complaint/urgent boundary. The only genuinely adversarial test.</t>
  </si>
  <si>
    <t>PT-P1 no-code benchmark</t>
  </si>
  <si>
    <t>The target. Same 11 phrases as the row above, so this pair is the only like-for-like comparison in the study.</t>
  </si>
  <si>
    <t>Verdict</t>
  </si>
  <si>
    <t>Delta (macro F1, same 11 phrases)</t>
  </si>
  <si>
    <t>READ THIS BEFORE QUOTING ANY NUMBER ABOVE</t>
  </si>
  <si>
    <t>1. On the validation split the Keras model BEATS the benchmark (0.9388 vs 0.9153). On the identical 11 phrases it LOSES (0.8222 vs 0.9153). Same weights, opposite verdicts — the choice of test set decides the answer.</t>
  </si>
  <si>
    <t>2. The 100% held-out test result should not be reported as headline performance. The generalisation gap is NEGATIVE (test scored 5.88 pts above validation), which normally means the test split is easier, not that the model is flawless. The expanded dataset was built by paraphrasing templates, so held-out rows share phrasing with training rows.</t>
  </si>
  <si>
    <t>3. The honest generalisation estimate is 81.82% (PT-P1 fixed set), not 100%.</t>
  </si>
  <si>
    <t>4. The test set was evaluated on TWO configurations: EXP-01B (in error, before the champion config was restored) and the EXP-05 champion. Both are disclosed. The champion was chosen on validation loss beforehand, so the selection was not influenced by test performance.</t>
  </si>
  <si>
    <t>5. T05, T07, T09 and T11 have 0.57–0.82 word overlap with sentences in the expanded training set. No exact duplicates. This is an advantage the no-code model did not have, and it makes 81.82% an optimistic figure rather than a pessimistic one.</t>
  </si>
  <si>
    <t>6. EXP-01B and the EXP-05 champion produce IDENTICAL validation predictions but differ on the held-out test set (100.00% vs 97.06%). Validation saturation therefore does not mean the models are equivalent — it means the validation set cannot distinguish them. The champion was still selected correctly, on validation loss, before any test set was consulted.</t>
  </si>
  <si>
    <t>Champion vs PT-P1 no-code model — identical 11 phrases</t>
  </si>
  <si>
    <t>Both models scored on the same fixed test set written for PT-P1 before this dataset existed. T12 has no valid class and is excluded from scoring.</t>
  </si>
  <si>
    <t>ID</t>
  </si>
  <si>
    <t>Case Type</t>
  </si>
  <si>
    <t>Expected</t>
  </si>
  <si>
    <t>Keras Pred</t>
  </si>
  <si>
    <t>Keras Conf</t>
  </si>
  <si>
    <t>Keras OK</t>
  </si>
  <si>
    <t>PT-P1 Step 5</t>
  </si>
  <si>
    <t>Near-Duplicate</t>
  </si>
  <si>
    <t>T01</t>
  </si>
  <si>
    <t>Clear</t>
  </si>
  <si>
    <t>Pos</t>
  </si>
  <si>
    <t>Neg</t>
  </si>
  <si>
    <t>WRONG</t>
  </si>
  <si>
    <t>Pos 67 correct</t>
  </si>
  <si>
    <t>T02</t>
  </si>
  <si>
    <t>correct</t>
  </si>
  <si>
    <t>Pos 97 correct</t>
  </si>
  <si>
    <t>T03</t>
  </si>
  <si>
    <t>Pos 96 correct</t>
  </si>
  <si>
    <t>T04</t>
  </si>
  <si>
    <t>Neg 92 correct</t>
  </si>
  <si>
    <t>T05</t>
  </si>
  <si>
    <t>Negation</t>
  </si>
  <si>
    <t>yes (0.64)</t>
  </si>
  <si>
    <t>T06</t>
  </si>
  <si>
    <t>Neg 69 correct</t>
  </si>
  <si>
    <t>T07</t>
  </si>
  <si>
    <t>Boundary</t>
  </si>
  <si>
    <t>Urg</t>
  </si>
  <si>
    <t>Urg 77 correct</t>
  </si>
  <si>
    <t>yes (0.67)</t>
  </si>
  <si>
    <t>T08</t>
  </si>
  <si>
    <t>Urg 91 correct</t>
  </si>
  <si>
    <t>T09</t>
  </si>
  <si>
    <t>Urg 88 correct</t>
  </si>
  <si>
    <t>yes (0.57)</t>
  </si>
  <si>
    <t>T10</t>
  </si>
  <si>
    <t>Sarcasm</t>
  </si>
  <si>
    <t>Urg 50 WRONG</t>
  </si>
  <si>
    <t>T11</t>
  </si>
  <si>
    <t>Neg 72 correct</t>
  </si>
  <si>
    <t>yes (0.82)</t>
  </si>
  <si>
    <t>T12</t>
  </si>
  <si>
    <t>Out-of-vocab</t>
  </si>
  <si>
    <t>none</t>
  </si>
  <si>
    <t>excluded</t>
  </si>
  <si>
    <t>Urg 3% (PT-P1)</t>
  </si>
  <si>
    <t>Keras correct (of 11)</t>
  </si>
  <si>
    <t>PT-P1 correct (of 11)</t>
  </si>
  <si>
    <t>Mean confidence, correct</t>
  </si>
  <si>
    <t>Mean confidence, wrong</t>
  </si>
  <si>
    <t>Confidence gap</t>
  </si>
  <si>
    <t>1. Both errors (T01, T06) are the two LEAST confident predictions, by a wide margin. Any threshold between roughly 62% and 85% would catch both while passing all nine correct answers.</t>
  </si>
  <si>
    <t>2. T10 is the case PT-P1 never solved across all three of its runs. The champion classifies it correctly at 99.78%. Targeted sarcasm examples in the expanded dataset fixed what ten targeted examples could not fix in the no-code model.</t>
  </si>
  <si>
    <t>3. T12 is the serious weakness. No correct class exists, and the model answered Neg at 97.35% where PT-P1 returned 3%. Softmax forces three probabilities to sum to 1, so the architecture has no way to express "none of these". A confidence threshold cannot catch this error.</t>
  </si>
  <si>
    <t>4. The two losses (T01, T06) are both CLEAR cases, which PT-P1 got right. The champion traded two easy wins for one hard win.</t>
  </si>
  <si>
    <t>Legend, conventions and disclosures</t>
  </si>
  <si>
    <t>SOURCE OF ALL NUMBERS</t>
  </si>
  <si>
    <t>Every value in the log sheet was written by the notebook itself to experiment_results.csv (Section 5B), not transcribed by hand. Nothing is estimated or adjusted.</t>
  </si>
  <si>
    <t>Environment</t>
  </si>
  <si>
    <t>Google Colab free tier, CPU runtime, TensorFlow 2.20.0. Hardware was held constant across all runs because GPU and CPU kernels use different reduction orders.</t>
  </si>
  <si>
    <t>Reproducibility</t>
  </si>
  <si>
    <t>np.random.seed(42) and tf.random.set_seed(42) alone did NOT reproduce: EXP-01 re-run in a clean session gave a different training loss (0.5933 vs ~0.55). Adding random.seed, tf.keras.utils.set_random_seed and tf.config.experimental.enable_op_determinism fixed it. Verified by two identical clean-session runs, and again when EXP-01B reproduced exactly after six intervening experiments.</t>
  </si>
  <si>
    <t>Hidden Layers = 1</t>
  </si>
  <si>
    <t>One Dense hidden layer. The Embedding and GlobalAveragePooling1D layers perform feature extraction, not classification, so they are not counted as hidden layers.</t>
  </si>
  <si>
    <t>Input Features = 20</t>
  </si>
  <si>
    <t>MAX_LEN, the fixed number of token positions per input sequence. Vocabulary size is logged separately.</t>
  </si>
  <si>
    <t>Accuracy columns</t>
  </si>
  <si>
    <t>Stored as fractions with percentage formatting. The template shipped with train accuracy as 96.8 and validation as 0.784 — two different conventions in one row. Standardised here to fractions throughout.</t>
  </si>
  <si>
    <t>Training Time</t>
  </si>
  <si>
    <t>Not instrumented. The notebook does not time its runs, so this column is left as "not instrumented" rather than filled with an estimate. Every run completed in seconds to roughly one minute on CPU.</t>
  </si>
  <si>
    <t>F1-Score (column T)</t>
  </si>
  <si>
    <t>WEIGHTED average, as computed by the notebook. The separate F1 Macro column is what should be compared against the PT-P1 benchmark, since PT-P1 reported macro averages.</t>
  </si>
  <si>
    <t>Populated only where early stopping was enabled. Where it ran, restore_best_weights=True means the reported metrics come from the best epoch, not the final one.</t>
  </si>
  <si>
    <t>LOGGING CONVENTION</t>
  </si>
  <si>
    <t>Metrics are the FINAL epoch values for runs without early stopping, and the BEST epoch values for runs with it (a consequence of restore_best_weights). This is worth confirming with Sir Raga, since mixing the two makes rows incomparable.</t>
  </si>
  <si>
    <t>Duplicate row removed</t>
  </si>
  <si>
    <t>experiment_results.csv contained EXP-05B-EXTENDED-TRAINING, identical in every column to EXP-05-EXTENDED-TRAINING — the champion re-run was typed under a second name. The duplicate was dropped; no measured value was altered.</t>
  </si>
  <si>
    <t>EXP-01B was re-run</t>
  </si>
  <si>
    <t>The original EXP-01B row was overwritten by a mis-labelled run (run_id not updated before editing hyperparameters). It was re-run under the correct configuration and reproduced exactly, which is itself evidence the determinism fix works.</t>
  </si>
  <si>
    <t>KNOWN LIMITATION: vocabulary leak</t>
  </si>
  <si>
    <t>build_vocab() is called on the full dataframe BEFORE the train/val/test split, so token frequencies from validation and test rows influence vocabulary membership. This is the same class of issue as fitting a scaler on the full dataset. The leak affects vocabulary membership only, not labels, and applies equally to every run, so between-run comparisons remain valid. Disclosed rather than silently corrected, because fixing it would have invalidated the completed runs.</t>
  </si>
  <si>
    <t>KNOWN LIMITATION: near-duplicates</t>
  </si>
  <si>
    <t>Four PT-P1 test phrases (T05, T07, T09, T11) have 0.57-0.82 word overlap with expanded-set training sentences. No exact duplicates exist. This inflates the PT-P1 cross-evaluation score in the Keras model's favour.</t>
  </si>
  <si>
    <t>EXP-02 caveat</t>
  </si>
  <si>
    <t>EXP-02 changed three hyperparameters simultaneously (hidden_dim, learning_rate, dropout_rate), as prescribed by the exercise brief. Its purpose is to INDUCE underfitting, not to attribute a cause. EXP-05B is the only run in the series that isolates a single variable.</t>
  </si>
  <si>
    <t>CHAMPION SELECTION</t>
  </si>
  <si>
    <t>EXP-05-EXTENDED-TRAINING, chosen on lowest validation loss (0.1067) and joint-highest ROC-AUC (0.9987). EXP-03 has the highest macro F1 (0.9410) and was REJECTED: its train loss of 0.0000 and gap of 1.0842 indicate memorisation, and its ROC-AUC is the worst of the good runs. The metric used for selection determines the model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</si>
</sst>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0;\-0.0000"/>
  </numFmts>
  <fonts count="5" x14ac:knownFonts="1">
    <font>
      <sz val="11"/>
      <color theme="1"/>
      <name val="Calibri"/>
      <family val="2"/>
      <charset val="1"/>
    </font>
    <font>
      <b/>
      <sz val="10"/>
      <color rgb="FFFFFFFF"/>
      <name val="Calibri"/>
      <charset val="1"/>
    </font>
    <font>
      <b/>
      <sz val="10"/>
      <name val="Calibri"/>
      <charset val="1"/>
    </font>
    <font>
      <sz val="10"/>
      <name val="Calibri"/>
      <charset val="1"/>
    </font>
    <font>
      <b/>
      <sz val="12"/>
      <color rgb="FF1F4E78"/>
      <name val="Calibri"/>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3" fillId="0" borderId="0" xfId="0" applyFont="1"/>
    <xf numFmtId="0" fontId="3" fillId="5" borderId="0" xfId="0" applyFont="1" applyFill="1" applyAlignment="1">
      <alignment vertical="top" wrapText="1"/>
    </xf>
    <xf numFmtId="0" fontId="4" fillId="0" borderId="0" xfId="0" applyFont="1"/>
    <xf numFmtId="0" fontId="3" fillId="0" borderId="0" xfId="0" applyFont="1" applyAlignment="1">
      <alignment vertical="top" wrapText="1"/>
    </xf>
    <xf numFmtId="0" fontId="1" fillId="2" borderId="0" xfId="0" applyFont="1" applyFill="1" applyAlignment="1">
      <alignment horizontal="center" vertical="center" wrapText="1"/>
    </xf>
    <xf numFmtId="0" fontId="2" fillId="3" borderId="1" xfId="0" applyFont="1" applyFill="1" applyBorder="1"/>
    <xf numFmtId="164" fontId="2" fillId="3" borderId="1" xfId="0" applyNumberFormat="1" applyFont="1" applyFill="1" applyBorder="1"/>
    <xf numFmtId="165" fontId="2" fillId="3" borderId="1" xfId="0" applyNumberFormat="1" applyFont="1" applyFill="1" applyBorder="1"/>
    <xf numFmtId="165" fontId="2" fillId="3" borderId="1" xfId="0" applyNumberFormat="1" applyFont="1" applyFill="1" applyBorder="1" applyAlignment="1">
      <alignment horizontal="right" vertical="center"/>
    </xf>
    <xf numFmtId="0" fontId="2" fillId="3" borderId="1" xfId="0" applyFont="1" applyFill="1" applyBorder="1" applyAlignment="1">
      <alignment vertical="top" wrapText="1"/>
    </xf>
    <xf numFmtId="2" fontId="2" fillId="3" borderId="1" xfId="0" applyNumberFormat="1" applyFont="1" applyFill="1" applyBorder="1"/>
    <xf numFmtId="0" fontId="0" fillId="0" borderId="0" xfId="0" applyAlignment="1">
      <alignment vertical="top" wrapText="1"/>
    </xf>
    <xf numFmtId="0" fontId="3" fillId="0" borderId="1" xfId="0" applyFont="1" applyBorder="1"/>
    <xf numFmtId="164" fontId="3" fillId="0" borderId="1" xfId="0" applyNumberFormat="1" applyFont="1" applyBorder="1"/>
    <xf numFmtId="165" fontId="3" fillId="0" borderId="1" xfId="0" applyNumberFormat="1" applyFont="1" applyBorder="1"/>
    <xf numFmtId="165" fontId="3" fillId="0" borderId="1" xfId="0" applyNumberFormat="1" applyFont="1" applyBorder="1" applyAlignment="1">
      <alignment horizontal="right" vertical="center"/>
    </xf>
    <xf numFmtId="0" fontId="3" fillId="0" borderId="1" xfId="0" applyFont="1" applyBorder="1" applyAlignment="1">
      <alignment vertical="top" wrapText="1"/>
    </xf>
    <xf numFmtId="2" fontId="3" fillId="0" borderId="1" xfId="0" applyNumberFormat="1" applyFont="1" applyBorder="1"/>
    <xf numFmtId="0" fontId="3" fillId="4" borderId="1" xfId="0" applyFont="1" applyFill="1" applyBorder="1"/>
    <xf numFmtId="164" fontId="3" fillId="4" borderId="1" xfId="0" applyNumberFormat="1" applyFont="1" applyFill="1" applyBorder="1"/>
    <xf numFmtId="165" fontId="3" fillId="4" borderId="1" xfId="0" applyNumberFormat="1" applyFont="1" applyFill="1" applyBorder="1"/>
    <xf numFmtId="0" fontId="3" fillId="4" borderId="1" xfId="0" applyFont="1" applyFill="1" applyBorder="1" applyAlignment="1">
      <alignment vertical="top" wrapText="1"/>
    </xf>
    <xf numFmtId="2" fontId="3" fillId="4" borderId="1" xfId="0" applyNumberFormat="1" applyFont="1" applyFill="1" applyBorder="1"/>
    <xf numFmtId="0" fontId="4" fillId="0" borderId="0" xfId="0" applyFont="1"/>
    <xf numFmtId="10" fontId="3" fillId="0" borderId="1" xfId="0" applyNumberFormat="1" applyFont="1" applyBorder="1"/>
    <xf numFmtId="0" fontId="3" fillId="3" borderId="1" xfId="0" applyFont="1" applyFill="1" applyBorder="1"/>
    <xf numFmtId="10" fontId="3" fillId="3" borderId="1" xfId="0" applyNumberFormat="1" applyFont="1" applyFill="1" applyBorder="1"/>
    <xf numFmtId="164" fontId="3" fillId="3" borderId="1" xfId="0" applyNumberFormat="1" applyFont="1" applyFill="1" applyBorder="1"/>
    <xf numFmtId="0" fontId="3" fillId="3" borderId="1" xfId="0" applyFont="1" applyFill="1" applyBorder="1" applyAlignment="1">
      <alignment vertical="top" wrapText="1"/>
    </xf>
    <xf numFmtId="0" fontId="3" fillId="5" borderId="1" xfId="0" applyFont="1" applyFill="1" applyBorder="1"/>
    <xf numFmtId="10" fontId="3" fillId="5" borderId="1" xfId="0" applyNumberFormat="1" applyFont="1" applyFill="1" applyBorder="1"/>
    <xf numFmtId="164" fontId="3" fillId="5" borderId="1" xfId="0" applyNumberFormat="1" applyFont="1" applyFill="1" applyBorder="1"/>
    <xf numFmtId="0" fontId="3" fillId="5" borderId="1" xfId="0" applyFont="1" applyFill="1" applyBorder="1" applyAlignment="1">
      <alignment vertical="top" wrapText="1"/>
    </xf>
    <xf numFmtId="0" fontId="2" fillId="0" borderId="1" xfId="0" applyFont="1" applyBorder="1"/>
    <xf numFmtId="166" fontId="2" fillId="0" borderId="1" xfId="0" applyNumberFormat="1" applyFont="1" applyBorder="1"/>
    <xf numFmtId="0" fontId="3" fillId="5" borderId="0" xfId="0" applyFont="1" applyFill="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
  <sheetViews>
    <sheetView zoomScale="85" zoomScaleNormal="85" workbookViewId="0">
      <pane xSplit="1" ySplit="1" topLeftCell="B2" activePane="bottomRight" state="frozen"/>
      <selection pane="topRight" activeCell="B1" sqref="B1"/>
      <selection pane="bottomLeft" activeCell="A2" sqref="A2"/>
      <selection pane="bottomRight" activeCell="R33" sqref="R33"/>
    </sheetView>
  </sheetViews>
  <sheetFormatPr defaultColWidth="8.6640625" defaultRowHeight="14.4" x14ac:dyDescent="0.3"/>
  <cols>
    <col min="1" max="1" width="7.6640625" customWidth="1"/>
    <col min="2" max="2" width="10.33203125" customWidth="1"/>
    <col min="3" max="3" width="7.109375" customWidth="1"/>
    <col min="4" max="4" width="12.5546875" customWidth="1"/>
    <col min="5" max="5" width="12.109375" customWidth="1"/>
    <col min="6" max="6" width="15.5546875" customWidth="1"/>
    <col min="7" max="7" width="13.88671875" customWidth="1"/>
    <col min="8" max="8" width="16.21875" customWidth="1"/>
    <col min="9" max="9" width="11.77734375" customWidth="1"/>
    <col min="11" max="11" width="12.21875" customWidth="1"/>
    <col min="12" max="12" width="9.109375" customWidth="1"/>
    <col min="13" max="13" width="9" customWidth="1"/>
    <col min="15" max="15" width="12.6640625" customWidth="1"/>
    <col min="16" max="16" width="15.21875" customWidth="1"/>
    <col min="17" max="17" width="19.33203125" customWidth="1"/>
    <col min="18" max="18" width="8.109375" customWidth="1"/>
    <col min="19" max="19" width="6" customWidth="1"/>
    <col min="20" max="20" width="7.77734375" customWidth="1"/>
    <col min="21" max="21" width="16.21875" customWidth="1"/>
    <col min="22" max="22" width="17.44140625" customWidth="1"/>
    <col min="23" max="23" width="11.88671875" customWidth="1"/>
    <col min="24" max="24" width="9.88671875" customWidth="1"/>
    <col min="25" max="25" width="62" customWidth="1"/>
    <col min="26" max="26" width="11" customWidth="1"/>
    <col min="27" max="28" width="11.33203125" customWidth="1"/>
    <col min="29" max="31" width="11" customWidth="1"/>
    <col min="32" max="32" width="19" customWidth="1"/>
    <col min="33" max="34" width="11" customWidth="1"/>
    <col min="35" max="35" width="13.33203125" customWidth="1"/>
    <col min="36" max="36" width="26" customWidth="1"/>
  </cols>
  <sheetData>
    <row r="1" spans="1:36" ht="33.75" customHeight="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row>
    <row r="2" spans="1:36" ht="57.75" customHeight="1" x14ac:dyDescent="0.3">
      <c r="A2" s="6" t="s">
        <v>36</v>
      </c>
      <c r="B2" s="6" t="s">
        <v>37</v>
      </c>
      <c r="C2" s="6" t="s">
        <v>38</v>
      </c>
      <c r="D2" s="6" t="s">
        <v>39</v>
      </c>
      <c r="E2" s="6" t="s">
        <v>39</v>
      </c>
      <c r="F2" s="6" t="s">
        <v>39</v>
      </c>
      <c r="G2" s="6">
        <v>3</v>
      </c>
      <c r="H2" s="6" t="s">
        <v>40</v>
      </c>
      <c r="I2" s="7" t="s">
        <v>39</v>
      </c>
      <c r="J2" s="6" t="s">
        <v>39</v>
      </c>
      <c r="K2" s="6" t="s">
        <v>39</v>
      </c>
      <c r="L2" s="6" t="s">
        <v>39</v>
      </c>
      <c r="M2" s="6" t="s">
        <v>39</v>
      </c>
      <c r="N2" s="7"/>
      <c r="O2" s="7"/>
      <c r="P2" s="8" t="s">
        <v>39</v>
      </c>
      <c r="Q2" s="9">
        <v>0.90909090909090895</v>
      </c>
      <c r="R2" s="7">
        <v>0.91666666666666696</v>
      </c>
      <c r="S2" s="7">
        <v>0.93333333333333302</v>
      </c>
      <c r="T2" s="7" t="s">
        <v>41</v>
      </c>
      <c r="U2" s="6"/>
      <c r="V2" s="6"/>
      <c r="W2" s="6" t="s">
        <v>39</v>
      </c>
      <c r="X2" s="6" t="s">
        <v>42</v>
      </c>
      <c r="Y2" s="10" t="s">
        <v>43</v>
      </c>
      <c r="Z2" s="6"/>
      <c r="AA2" s="11"/>
      <c r="AB2" s="7"/>
      <c r="AC2" s="7">
        <v>0.91534391534391502</v>
      </c>
      <c r="AD2" s="7"/>
      <c r="AE2" s="6"/>
      <c r="AF2" s="7"/>
      <c r="AG2" s="6"/>
      <c r="AH2" s="6"/>
      <c r="AI2" s="6"/>
      <c r="AJ2" s="12"/>
    </row>
    <row r="3" spans="1:36" ht="57.75" customHeight="1" x14ac:dyDescent="0.3">
      <c r="A3" s="13" t="s">
        <v>44</v>
      </c>
      <c r="B3" s="13" t="s">
        <v>45</v>
      </c>
      <c r="C3" s="13" t="s">
        <v>46</v>
      </c>
      <c r="D3" s="13">
        <v>20</v>
      </c>
      <c r="E3" s="13">
        <v>1</v>
      </c>
      <c r="F3" s="13">
        <v>64</v>
      </c>
      <c r="G3" s="13">
        <v>3</v>
      </c>
      <c r="H3" s="13" t="s">
        <v>47</v>
      </c>
      <c r="I3" s="14">
        <v>5.0000000000000001E-3</v>
      </c>
      <c r="J3" s="13" t="s">
        <v>48</v>
      </c>
      <c r="K3" s="13" t="s">
        <v>49</v>
      </c>
      <c r="L3" s="13">
        <v>15</v>
      </c>
      <c r="M3" s="13">
        <v>32</v>
      </c>
      <c r="N3" s="14">
        <v>0.63049999999999995</v>
      </c>
      <c r="O3" s="14">
        <v>1.1555</v>
      </c>
      <c r="P3" s="15">
        <v>1</v>
      </c>
      <c r="Q3" s="16">
        <v>0.16669999999999999</v>
      </c>
      <c r="R3" s="14">
        <v>6.6699999999999995E-2</v>
      </c>
      <c r="S3" s="14">
        <v>0.16669999999999999</v>
      </c>
      <c r="T3" s="14">
        <v>9.5200000000000007E-2</v>
      </c>
      <c r="U3" s="13" t="s">
        <v>50</v>
      </c>
      <c r="V3" s="13" t="s">
        <v>51</v>
      </c>
      <c r="W3" s="13">
        <v>42</v>
      </c>
      <c r="X3" s="13" t="s">
        <v>52</v>
      </c>
      <c r="Y3" s="17" t="s">
        <v>53</v>
      </c>
      <c r="Z3" s="13">
        <v>32</v>
      </c>
      <c r="AA3" s="18">
        <v>0.1</v>
      </c>
      <c r="AB3" s="14">
        <v>0</v>
      </c>
      <c r="AC3" s="14">
        <v>9.5200000000000007E-2</v>
      </c>
      <c r="AD3" s="14">
        <v>0.33329999999999999</v>
      </c>
      <c r="AE3" s="13">
        <v>1</v>
      </c>
      <c r="AF3" s="14">
        <f t="shared" ref="AF3:AF9" si="0">O3-N3</f>
        <v>0.52500000000000002</v>
      </c>
      <c r="AG3" s="13">
        <v>15</v>
      </c>
      <c r="AH3" s="13">
        <v>233</v>
      </c>
      <c r="AI3" s="13" t="s">
        <v>54</v>
      </c>
      <c r="AJ3" s="17" t="s">
        <v>55</v>
      </c>
    </row>
    <row r="4" spans="1:36" ht="57.75" customHeight="1" x14ac:dyDescent="0.3">
      <c r="A4" s="13" t="s">
        <v>56</v>
      </c>
      <c r="B4" s="13" t="s">
        <v>45</v>
      </c>
      <c r="C4" s="13" t="s">
        <v>57</v>
      </c>
      <c r="D4" s="13">
        <v>20</v>
      </c>
      <c r="E4" s="13">
        <v>1</v>
      </c>
      <c r="F4" s="13">
        <v>64</v>
      </c>
      <c r="G4" s="13">
        <v>3</v>
      </c>
      <c r="H4" s="13" t="s">
        <v>47</v>
      </c>
      <c r="I4" s="14">
        <v>5.0000000000000001E-3</v>
      </c>
      <c r="J4" s="13" t="s">
        <v>48</v>
      </c>
      <c r="K4" s="13" t="s">
        <v>49</v>
      </c>
      <c r="L4" s="13">
        <v>15</v>
      </c>
      <c r="M4" s="13">
        <v>32</v>
      </c>
      <c r="N4" s="14">
        <v>1.9E-3</v>
      </c>
      <c r="O4" s="14">
        <v>0.12</v>
      </c>
      <c r="P4" s="15">
        <v>1</v>
      </c>
      <c r="Q4" s="16">
        <v>0.94120000000000004</v>
      </c>
      <c r="R4" s="14">
        <v>0.94589999999999996</v>
      </c>
      <c r="S4" s="14">
        <v>0.94120000000000004</v>
      </c>
      <c r="T4" s="14">
        <v>0.9395</v>
      </c>
      <c r="U4" s="13" t="s">
        <v>50</v>
      </c>
      <c r="V4" s="13" t="s">
        <v>51</v>
      </c>
      <c r="W4" s="13">
        <v>42</v>
      </c>
      <c r="X4" s="13" t="s">
        <v>52</v>
      </c>
      <c r="Y4" s="17" t="s">
        <v>58</v>
      </c>
      <c r="Z4" s="13">
        <v>32</v>
      </c>
      <c r="AA4" s="18">
        <v>0.1</v>
      </c>
      <c r="AB4" s="14">
        <v>0</v>
      </c>
      <c r="AC4" s="14">
        <v>0.93879999999999997</v>
      </c>
      <c r="AD4" s="14">
        <v>0.99870000000000003</v>
      </c>
      <c r="AE4" s="13">
        <v>15</v>
      </c>
      <c r="AF4" s="14">
        <f t="shared" si="0"/>
        <v>0.1181</v>
      </c>
      <c r="AG4" s="13">
        <v>15</v>
      </c>
      <c r="AH4" s="13">
        <v>562</v>
      </c>
      <c r="AI4" s="13" t="s">
        <v>59</v>
      </c>
      <c r="AJ4" s="17" t="s">
        <v>60</v>
      </c>
    </row>
    <row r="5" spans="1:36" ht="57.75" customHeight="1" x14ac:dyDescent="0.3">
      <c r="A5" s="13" t="s">
        <v>61</v>
      </c>
      <c r="B5" s="13" t="s">
        <v>45</v>
      </c>
      <c r="C5" s="13" t="s">
        <v>57</v>
      </c>
      <c r="D5" s="13">
        <v>20</v>
      </c>
      <c r="E5" s="13">
        <v>1</v>
      </c>
      <c r="F5" s="13">
        <v>16</v>
      </c>
      <c r="G5" s="13">
        <v>3</v>
      </c>
      <c r="H5" s="13" t="s">
        <v>47</v>
      </c>
      <c r="I5" s="14">
        <v>1E-4</v>
      </c>
      <c r="J5" s="13" t="s">
        <v>48</v>
      </c>
      <c r="K5" s="13" t="s">
        <v>49</v>
      </c>
      <c r="L5" s="13">
        <v>15</v>
      </c>
      <c r="M5" s="13">
        <v>32</v>
      </c>
      <c r="N5" s="14">
        <v>1.0842000000000001</v>
      </c>
      <c r="O5" s="14">
        <v>1.0888</v>
      </c>
      <c r="P5" s="15">
        <v>0.71340000000000003</v>
      </c>
      <c r="Q5" s="16">
        <v>0.55879999999999996</v>
      </c>
      <c r="R5" s="14">
        <v>0.61180000000000001</v>
      </c>
      <c r="S5" s="14">
        <v>0.55879999999999996</v>
      </c>
      <c r="T5" s="14">
        <v>0.51500000000000001</v>
      </c>
      <c r="U5" s="13" t="s">
        <v>50</v>
      </c>
      <c r="V5" s="13" t="s">
        <v>51</v>
      </c>
      <c r="W5" s="13">
        <v>42</v>
      </c>
      <c r="X5" s="13" t="s">
        <v>52</v>
      </c>
      <c r="Y5" s="17" t="s">
        <v>62</v>
      </c>
      <c r="Z5" s="13">
        <v>32</v>
      </c>
      <c r="AA5" s="18">
        <v>0</v>
      </c>
      <c r="AB5" s="14">
        <v>0</v>
      </c>
      <c r="AC5" s="14">
        <v>0.50580000000000003</v>
      </c>
      <c r="AD5" s="14">
        <v>0.82679999999999998</v>
      </c>
      <c r="AE5" s="13">
        <v>15</v>
      </c>
      <c r="AF5" s="14">
        <f t="shared" si="0"/>
        <v>4.5999999999999375E-3</v>
      </c>
      <c r="AG5" s="13">
        <v>15</v>
      </c>
      <c r="AH5" s="13">
        <v>562</v>
      </c>
      <c r="AI5" s="13" t="s">
        <v>59</v>
      </c>
      <c r="AJ5" s="17" t="s">
        <v>63</v>
      </c>
    </row>
    <row r="6" spans="1:36" ht="57.75" customHeight="1" x14ac:dyDescent="0.3">
      <c r="A6" s="13" t="s">
        <v>64</v>
      </c>
      <c r="B6" s="13" t="s">
        <v>45</v>
      </c>
      <c r="C6" s="13" t="s">
        <v>57</v>
      </c>
      <c r="D6" s="13">
        <v>20</v>
      </c>
      <c r="E6" s="13">
        <v>1</v>
      </c>
      <c r="F6" s="13">
        <v>256</v>
      </c>
      <c r="G6" s="13">
        <v>3</v>
      </c>
      <c r="H6" s="13" t="s">
        <v>47</v>
      </c>
      <c r="I6" s="14">
        <v>0.05</v>
      </c>
      <c r="J6" s="13" t="s">
        <v>48</v>
      </c>
      <c r="K6" s="13" t="s">
        <v>49</v>
      </c>
      <c r="L6" s="13">
        <v>15</v>
      </c>
      <c r="M6" s="13">
        <v>32</v>
      </c>
      <c r="N6" s="14">
        <v>0</v>
      </c>
      <c r="O6" s="14">
        <v>1.0842000000000001</v>
      </c>
      <c r="P6" s="15">
        <v>1</v>
      </c>
      <c r="Q6" s="15">
        <v>0.94120000000000004</v>
      </c>
      <c r="R6" s="14">
        <v>0.9496</v>
      </c>
      <c r="S6" s="14">
        <v>0.94120000000000004</v>
      </c>
      <c r="T6" s="14">
        <v>0.9405</v>
      </c>
      <c r="U6" s="13" t="s">
        <v>50</v>
      </c>
      <c r="V6" s="13" t="s">
        <v>51</v>
      </c>
      <c r="W6" s="13">
        <v>42</v>
      </c>
      <c r="X6" s="13" t="s">
        <v>52</v>
      </c>
      <c r="Y6" s="17" t="s">
        <v>65</v>
      </c>
      <c r="Z6" s="13">
        <v>32</v>
      </c>
      <c r="AA6" s="18">
        <v>0</v>
      </c>
      <c r="AB6" s="14">
        <v>0</v>
      </c>
      <c r="AC6" s="14">
        <v>0.94099999999999995</v>
      </c>
      <c r="AD6" s="14">
        <v>0.98750000000000004</v>
      </c>
      <c r="AE6" s="13">
        <v>2</v>
      </c>
      <c r="AF6" s="14">
        <f t="shared" si="0"/>
        <v>1.0842000000000001</v>
      </c>
      <c r="AG6" s="13">
        <v>15</v>
      </c>
      <c r="AH6" s="13">
        <v>562</v>
      </c>
      <c r="AI6" s="13" t="s">
        <v>59</v>
      </c>
      <c r="AJ6" s="17" t="s">
        <v>66</v>
      </c>
    </row>
    <row r="7" spans="1:36" ht="57.75" customHeight="1" x14ac:dyDescent="0.3">
      <c r="A7" s="13" t="s">
        <v>67</v>
      </c>
      <c r="B7" s="13" t="s">
        <v>45</v>
      </c>
      <c r="C7" s="13" t="s">
        <v>57</v>
      </c>
      <c r="D7" s="13">
        <v>20</v>
      </c>
      <c r="E7" s="13">
        <v>1</v>
      </c>
      <c r="F7" s="13">
        <v>128</v>
      </c>
      <c r="G7" s="13">
        <v>3</v>
      </c>
      <c r="H7" s="13" t="s">
        <v>47</v>
      </c>
      <c r="I7" s="14">
        <v>5.0000000000000001E-3</v>
      </c>
      <c r="J7" s="13" t="s">
        <v>48</v>
      </c>
      <c r="K7" s="13" t="s">
        <v>49</v>
      </c>
      <c r="L7" s="13">
        <v>15</v>
      </c>
      <c r="M7" s="13">
        <v>32</v>
      </c>
      <c r="N7" s="14">
        <v>1.4E-3</v>
      </c>
      <c r="O7" s="14">
        <v>0.13869999999999999</v>
      </c>
      <c r="P7" s="15">
        <v>1</v>
      </c>
      <c r="Q7" s="15">
        <v>0.94120000000000004</v>
      </c>
      <c r="R7" s="14">
        <v>0.94589999999999996</v>
      </c>
      <c r="S7" s="14">
        <v>0.94120000000000004</v>
      </c>
      <c r="T7" s="14">
        <v>0.9395</v>
      </c>
      <c r="U7" s="13" t="s">
        <v>50</v>
      </c>
      <c r="V7" s="13" t="s">
        <v>51</v>
      </c>
      <c r="W7" s="13">
        <v>42</v>
      </c>
      <c r="X7" s="13" t="s">
        <v>52</v>
      </c>
      <c r="Y7" s="17" t="s">
        <v>68</v>
      </c>
      <c r="Z7" s="13">
        <v>32</v>
      </c>
      <c r="AA7" s="18">
        <v>0.4</v>
      </c>
      <c r="AB7" s="14">
        <v>0</v>
      </c>
      <c r="AC7" s="14">
        <v>0.93879999999999997</v>
      </c>
      <c r="AD7" s="14">
        <v>0.99870000000000003</v>
      </c>
      <c r="AE7" s="13">
        <v>13</v>
      </c>
      <c r="AF7" s="14">
        <f t="shared" si="0"/>
        <v>0.13729999999999998</v>
      </c>
      <c r="AG7" s="13">
        <v>15</v>
      </c>
      <c r="AH7" s="13">
        <v>562</v>
      </c>
      <c r="AI7" s="13" t="s">
        <v>59</v>
      </c>
      <c r="AJ7" s="17" t="s">
        <v>60</v>
      </c>
    </row>
    <row r="8" spans="1:36" ht="57.75" customHeight="1" x14ac:dyDescent="0.3">
      <c r="A8" s="19" t="s">
        <v>69</v>
      </c>
      <c r="B8" s="19" t="s">
        <v>45</v>
      </c>
      <c r="C8" s="19" t="s">
        <v>57</v>
      </c>
      <c r="D8" s="19">
        <v>20</v>
      </c>
      <c r="E8" s="19">
        <v>1</v>
      </c>
      <c r="F8" s="19">
        <v>64</v>
      </c>
      <c r="G8" s="19">
        <v>3</v>
      </c>
      <c r="H8" s="19" t="s">
        <v>47</v>
      </c>
      <c r="I8" s="20">
        <v>5.0000000000000001E-3</v>
      </c>
      <c r="J8" s="19" t="s">
        <v>48</v>
      </c>
      <c r="K8" s="19" t="s">
        <v>49</v>
      </c>
      <c r="L8" s="19">
        <v>60</v>
      </c>
      <c r="M8" s="19">
        <v>32</v>
      </c>
      <c r="N8" s="20">
        <v>1E-4</v>
      </c>
      <c r="O8" s="20">
        <v>0.1067</v>
      </c>
      <c r="P8" s="21">
        <v>1</v>
      </c>
      <c r="Q8" s="21">
        <v>0.94120000000000004</v>
      </c>
      <c r="R8" s="20">
        <v>0.94589999999999996</v>
      </c>
      <c r="S8" s="20">
        <v>0.94120000000000004</v>
      </c>
      <c r="T8" s="20">
        <v>0.9395</v>
      </c>
      <c r="U8" s="19" t="s">
        <v>50</v>
      </c>
      <c r="V8" s="19">
        <v>48</v>
      </c>
      <c r="W8" s="19">
        <v>42</v>
      </c>
      <c r="X8" s="19" t="s">
        <v>52</v>
      </c>
      <c r="Y8" s="22" t="s">
        <v>70</v>
      </c>
      <c r="Z8" s="19">
        <v>32</v>
      </c>
      <c r="AA8" s="23">
        <v>0.1</v>
      </c>
      <c r="AB8" s="20">
        <v>0</v>
      </c>
      <c r="AC8" s="20">
        <v>0.93879999999999997</v>
      </c>
      <c r="AD8" s="20">
        <v>0.99870000000000003</v>
      </c>
      <c r="AE8" s="19">
        <v>48</v>
      </c>
      <c r="AF8" s="20">
        <f t="shared" si="0"/>
        <v>0.1066</v>
      </c>
      <c r="AG8" s="19">
        <v>56</v>
      </c>
      <c r="AH8" s="19">
        <v>562</v>
      </c>
      <c r="AI8" s="19" t="s">
        <v>59</v>
      </c>
      <c r="AJ8" s="22" t="s">
        <v>71</v>
      </c>
    </row>
    <row r="9" spans="1:36" ht="57.75" customHeight="1" x14ac:dyDescent="0.3">
      <c r="A9" s="13" t="s">
        <v>72</v>
      </c>
      <c r="B9" s="13" t="s">
        <v>45</v>
      </c>
      <c r="C9" s="13" t="s">
        <v>57</v>
      </c>
      <c r="D9" s="13">
        <v>20</v>
      </c>
      <c r="E9" s="13">
        <v>1</v>
      </c>
      <c r="F9" s="13">
        <v>64</v>
      </c>
      <c r="G9" s="13">
        <v>3</v>
      </c>
      <c r="H9" s="13" t="s">
        <v>47</v>
      </c>
      <c r="I9" s="14">
        <v>5.0000000000000001E-3</v>
      </c>
      <c r="J9" s="13" t="s">
        <v>48</v>
      </c>
      <c r="K9" s="13" t="s">
        <v>49</v>
      </c>
      <c r="L9" s="13">
        <v>60</v>
      </c>
      <c r="M9" s="13">
        <v>32</v>
      </c>
      <c r="N9" s="14">
        <v>7.4000000000000003E-3</v>
      </c>
      <c r="O9" s="14">
        <v>0.1142</v>
      </c>
      <c r="P9" s="15">
        <v>1</v>
      </c>
      <c r="Q9" s="15">
        <v>0.94120000000000004</v>
      </c>
      <c r="R9" s="14">
        <v>0.94589999999999996</v>
      </c>
      <c r="S9" s="14">
        <v>0.94120000000000004</v>
      </c>
      <c r="T9" s="14">
        <v>0.9395</v>
      </c>
      <c r="U9" s="13" t="s">
        <v>50</v>
      </c>
      <c r="V9" s="13">
        <v>48</v>
      </c>
      <c r="W9" s="13">
        <v>42</v>
      </c>
      <c r="X9" s="13" t="s">
        <v>52</v>
      </c>
      <c r="Y9" s="17" t="s">
        <v>73</v>
      </c>
      <c r="Z9" s="13">
        <v>32</v>
      </c>
      <c r="AA9" s="18">
        <v>0.1</v>
      </c>
      <c r="AB9" s="14">
        <v>1E-4</v>
      </c>
      <c r="AC9" s="14">
        <v>0.93879999999999997</v>
      </c>
      <c r="AD9" s="14">
        <v>0.99870000000000003</v>
      </c>
      <c r="AE9" s="13">
        <v>48</v>
      </c>
      <c r="AF9" s="14">
        <f t="shared" si="0"/>
        <v>0.10679999999999999</v>
      </c>
      <c r="AG9" s="13">
        <v>56</v>
      </c>
      <c r="AH9" s="13">
        <v>562</v>
      </c>
      <c r="AI9" s="13" t="s">
        <v>59</v>
      </c>
      <c r="AJ9" s="17" t="s">
        <v>74</v>
      </c>
    </row>
  </sheetData>
  <conditionalFormatting sqref="Q2">
    <cfRule type="colorScale" priority="6">
      <colorScale>
        <cfvo type="min"/>
        <cfvo type="percentile" val="50"/>
        <cfvo type="max"/>
        <color rgb="FFF8696B"/>
        <color rgb="FFFFEB84"/>
        <color rgb="FF63BE7B"/>
      </colorScale>
    </cfRule>
  </conditionalFormatting>
  <conditionalFormatting sqref="Q2:Q11">
    <cfRule type="colorScale" priority="2">
      <colorScale>
        <cfvo type="min"/>
        <cfvo type="percentile" val="50"/>
        <cfvo type="max"/>
        <color rgb="FFF8696B"/>
        <color rgb="FFFFEB84"/>
        <color rgb="FF63BE7B"/>
      </colorScale>
    </cfRule>
  </conditionalFormatting>
  <conditionalFormatting sqref="Q3">
    <cfRule type="colorScale" priority="5">
      <colorScale>
        <cfvo type="min"/>
        <cfvo type="percentile" val="50"/>
        <cfvo type="max"/>
        <color rgb="FFF8696B"/>
        <color rgb="FFFFEB84"/>
        <color rgb="FF63BE7B"/>
      </colorScale>
    </cfRule>
  </conditionalFormatting>
  <conditionalFormatting sqref="Q4">
    <cfRule type="colorScale" priority="4">
      <colorScale>
        <cfvo type="min"/>
        <cfvo type="percentile" val="50"/>
        <cfvo type="max"/>
        <color rgb="FFF8696B"/>
        <color rgb="FFFFEB84"/>
        <color rgb="FF63BE7B"/>
      </colorScale>
    </cfRule>
  </conditionalFormatting>
  <conditionalFormatting sqref="Q5">
    <cfRule type="colorScale" priority="3">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zoomScaleNormal="100" workbookViewId="0"/>
  </sheetViews>
  <sheetFormatPr defaultColWidth="8.6640625" defaultRowHeight="14.4" x14ac:dyDescent="0.3"/>
  <cols>
    <col min="1" max="1" width="30" customWidth="1"/>
    <col min="2" max="2" width="19.21875" customWidth="1"/>
    <col min="3" max="4" width="11" customWidth="1"/>
    <col min="5" max="5" width="14" customWidth="1"/>
    <col min="6" max="6" width="62" customWidth="1"/>
  </cols>
  <sheetData>
    <row r="1" spans="1:6" ht="15" customHeight="1" x14ac:dyDescent="0.3">
      <c r="A1" s="24" t="s">
        <v>75</v>
      </c>
    </row>
    <row r="2" spans="1:6" ht="30" customHeight="1" x14ac:dyDescent="0.3">
      <c r="A2" s="4" t="s">
        <v>76</v>
      </c>
      <c r="B2" s="4"/>
      <c r="C2" s="4"/>
      <c r="D2" s="4"/>
      <c r="E2" s="4"/>
      <c r="F2" s="4"/>
    </row>
    <row r="4" spans="1:6" ht="30" customHeight="1" x14ac:dyDescent="0.3">
      <c r="A4" s="5" t="s">
        <v>77</v>
      </c>
      <c r="B4" s="5" t="s">
        <v>78</v>
      </c>
      <c r="C4" s="5" t="s">
        <v>79</v>
      </c>
      <c r="D4" s="5" t="s">
        <v>80</v>
      </c>
      <c r="E4" s="5" t="s">
        <v>81</v>
      </c>
      <c r="F4" s="5" t="s">
        <v>82</v>
      </c>
    </row>
    <row r="5" spans="1:6" ht="30" customHeight="1" x14ac:dyDescent="0.3">
      <c r="A5" s="13" t="s">
        <v>83</v>
      </c>
      <c r="B5" s="13">
        <v>34</v>
      </c>
      <c r="C5" s="25">
        <v>0.94120000000000004</v>
      </c>
      <c r="D5" s="14">
        <v>0.93879999999999997</v>
      </c>
      <c r="E5" s="13" t="s">
        <v>84</v>
      </c>
      <c r="F5" s="17" t="s">
        <v>85</v>
      </c>
    </row>
    <row r="6" spans="1:6" ht="42" customHeight="1" x14ac:dyDescent="0.3">
      <c r="A6" s="13" t="s">
        <v>86</v>
      </c>
      <c r="B6" s="13">
        <v>34</v>
      </c>
      <c r="C6" s="25">
        <v>0.97060000000000002</v>
      </c>
      <c r="D6" s="14">
        <v>0.97050000000000003</v>
      </c>
      <c r="E6" s="13" t="s">
        <v>87</v>
      </c>
      <c r="F6" s="17" t="s">
        <v>88</v>
      </c>
    </row>
    <row r="7" spans="1:6" ht="42" customHeight="1" x14ac:dyDescent="0.3">
      <c r="A7" s="26" t="s">
        <v>89</v>
      </c>
      <c r="B7" s="26">
        <v>34</v>
      </c>
      <c r="C7" s="27">
        <v>1</v>
      </c>
      <c r="D7" s="28">
        <v>1</v>
      </c>
      <c r="E7" s="26" t="s">
        <v>87</v>
      </c>
      <c r="F7" s="29" t="s">
        <v>90</v>
      </c>
    </row>
    <row r="8" spans="1:6" ht="30" customHeight="1" x14ac:dyDescent="0.3">
      <c r="A8" s="30" t="s">
        <v>91</v>
      </c>
      <c r="B8" s="30">
        <v>11</v>
      </c>
      <c r="C8" s="31">
        <v>0.81820000000000004</v>
      </c>
      <c r="D8" s="32">
        <v>0.82220000000000004</v>
      </c>
      <c r="E8" s="30" t="s">
        <v>84</v>
      </c>
      <c r="F8" s="33" t="s">
        <v>92</v>
      </c>
    </row>
    <row r="9" spans="1:6" ht="27.6" x14ac:dyDescent="0.3">
      <c r="A9" s="26" t="s">
        <v>93</v>
      </c>
      <c r="B9" s="26">
        <v>11</v>
      </c>
      <c r="C9" s="27">
        <v>0.90909090909090895</v>
      </c>
      <c r="D9" s="28">
        <v>0.91534391534391502</v>
      </c>
      <c r="E9" s="26" t="s">
        <v>84</v>
      </c>
      <c r="F9" s="29" t="s">
        <v>94</v>
      </c>
    </row>
    <row r="10" spans="1:6" ht="15" customHeight="1" x14ac:dyDescent="0.3"/>
    <row r="11" spans="1:6" x14ac:dyDescent="0.3">
      <c r="A11" s="34" t="s">
        <v>95</v>
      </c>
      <c r="B11" s="34" t="str">
        <f>IF(D8&gt;D9,"BEATS","LOSES TO")</f>
        <v>LOSES TO</v>
      </c>
      <c r="C11" s="13" t="s">
        <v>96</v>
      </c>
      <c r="D11" s="35">
        <f>D8-D9</f>
        <v>-9.3143915343914974E-2</v>
      </c>
    </row>
    <row r="12" spans="1:6" ht="15" customHeight="1" x14ac:dyDescent="0.3"/>
    <row r="13" spans="1:6" ht="43.5" customHeight="1" x14ac:dyDescent="0.3">
      <c r="A13" s="3" t="s">
        <v>97</v>
      </c>
      <c r="B13" s="3"/>
      <c r="C13" s="3"/>
      <c r="D13" s="3"/>
      <c r="E13" s="3"/>
      <c r="F13" s="3"/>
    </row>
    <row r="14" spans="1:6" ht="43.5" customHeight="1" x14ac:dyDescent="0.3">
      <c r="A14" s="2" t="s">
        <v>98</v>
      </c>
      <c r="B14" s="2"/>
      <c r="C14" s="2"/>
      <c r="D14" s="2"/>
      <c r="E14" s="2"/>
      <c r="F14" s="2"/>
    </row>
    <row r="15" spans="1:6" ht="43.5" customHeight="1" x14ac:dyDescent="0.3">
      <c r="A15" s="2" t="s">
        <v>99</v>
      </c>
      <c r="B15" s="2"/>
      <c r="C15" s="2"/>
      <c r="D15" s="2"/>
      <c r="E15" s="2"/>
      <c r="F15" s="2"/>
    </row>
    <row r="16" spans="1:6" ht="43.5" customHeight="1" x14ac:dyDescent="0.3">
      <c r="A16" s="2" t="s">
        <v>100</v>
      </c>
      <c r="B16" s="2"/>
      <c r="C16" s="2"/>
      <c r="D16" s="2"/>
      <c r="E16" s="2"/>
      <c r="F16" s="2"/>
    </row>
    <row r="17" spans="1:6" ht="43.5" customHeight="1" x14ac:dyDescent="0.3">
      <c r="A17" s="2" t="s">
        <v>101</v>
      </c>
      <c r="B17" s="2"/>
      <c r="C17" s="2"/>
      <c r="D17" s="2"/>
      <c r="E17" s="2"/>
      <c r="F17" s="2"/>
    </row>
    <row r="18" spans="1:6" ht="110.4" x14ac:dyDescent="0.3">
      <c r="A18" s="36" t="s">
        <v>102</v>
      </c>
    </row>
    <row r="19" spans="1:6" ht="48" customHeight="1" x14ac:dyDescent="0.3">
      <c r="A19" s="2" t="s">
        <v>103</v>
      </c>
      <c r="B19" s="2"/>
      <c r="C19" s="2"/>
      <c r="D19" s="2"/>
      <c r="E19" s="2"/>
      <c r="F19" s="2"/>
    </row>
  </sheetData>
  <mergeCells count="7">
    <mergeCell ref="A17:F17"/>
    <mergeCell ref="A19:F19"/>
    <mergeCell ref="A2:F2"/>
    <mergeCell ref="A13:F13"/>
    <mergeCell ref="A14:F14"/>
    <mergeCell ref="A15:F15"/>
    <mergeCell ref="A16:F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topLeftCell="A14" zoomScaleNormal="100" workbookViewId="0"/>
  </sheetViews>
  <sheetFormatPr defaultColWidth="8.6640625" defaultRowHeight="14.4" x14ac:dyDescent="0.3"/>
  <cols>
    <col min="1" max="1" width="7" customWidth="1"/>
    <col min="2" max="2" width="12" customWidth="1"/>
    <col min="3" max="3" width="11" customWidth="1"/>
    <col min="4" max="5" width="12" customWidth="1"/>
    <col min="6" max="6" width="10" customWidth="1"/>
    <col min="7" max="7" width="15" customWidth="1"/>
    <col min="8" max="8" width="14" customWidth="1"/>
  </cols>
  <sheetData>
    <row r="1" spans="1:8" ht="15" customHeight="1" x14ac:dyDescent="0.3">
      <c r="A1" s="24" t="s">
        <v>104</v>
      </c>
    </row>
    <row r="2" spans="1:8" ht="15" customHeight="1" x14ac:dyDescent="0.3">
      <c r="A2" s="1" t="s">
        <v>105</v>
      </c>
      <c r="B2" s="1"/>
      <c r="C2" s="1"/>
      <c r="D2" s="1"/>
      <c r="E2" s="1"/>
      <c r="F2" s="1"/>
      <c r="G2" s="1"/>
      <c r="H2" s="1"/>
    </row>
    <row r="4" spans="1:8" ht="30" customHeight="1" x14ac:dyDescent="0.3">
      <c r="A4" s="5" t="s">
        <v>106</v>
      </c>
      <c r="B4" s="5" t="s">
        <v>107</v>
      </c>
      <c r="C4" s="5" t="s">
        <v>108</v>
      </c>
      <c r="D4" s="5" t="s">
        <v>109</v>
      </c>
      <c r="E4" s="5" t="s">
        <v>110</v>
      </c>
      <c r="F4" s="5" t="s">
        <v>111</v>
      </c>
      <c r="G4" s="5" t="s">
        <v>112</v>
      </c>
      <c r="H4" s="5" t="s">
        <v>113</v>
      </c>
    </row>
    <row r="5" spans="1:8" ht="15" customHeight="1" x14ac:dyDescent="0.3">
      <c r="A5" s="30" t="s">
        <v>114</v>
      </c>
      <c r="B5" s="30" t="s">
        <v>115</v>
      </c>
      <c r="C5" s="30" t="s">
        <v>116</v>
      </c>
      <c r="D5" s="30" t="s">
        <v>117</v>
      </c>
      <c r="E5" s="31">
        <v>0.61360000000000003</v>
      </c>
      <c r="F5" s="30" t="s">
        <v>118</v>
      </c>
      <c r="G5" s="30" t="s">
        <v>119</v>
      </c>
      <c r="H5" s="30"/>
    </row>
    <row r="6" spans="1:8" ht="15" customHeight="1" x14ac:dyDescent="0.3">
      <c r="A6" s="13" t="s">
        <v>120</v>
      </c>
      <c r="B6" s="13" t="s">
        <v>115</v>
      </c>
      <c r="C6" s="13" t="s">
        <v>116</v>
      </c>
      <c r="D6" s="13" t="s">
        <v>116</v>
      </c>
      <c r="E6" s="25">
        <v>1</v>
      </c>
      <c r="F6" s="13" t="s">
        <v>121</v>
      </c>
      <c r="G6" s="13" t="s">
        <v>122</v>
      </c>
      <c r="H6" s="13"/>
    </row>
    <row r="7" spans="1:8" ht="15" customHeight="1" x14ac:dyDescent="0.3">
      <c r="A7" s="13" t="s">
        <v>123</v>
      </c>
      <c r="B7" s="13" t="s">
        <v>115</v>
      </c>
      <c r="C7" s="13" t="s">
        <v>116</v>
      </c>
      <c r="D7" s="13" t="s">
        <v>116</v>
      </c>
      <c r="E7" s="25">
        <v>0.99980000000000002</v>
      </c>
      <c r="F7" s="13" t="s">
        <v>121</v>
      </c>
      <c r="G7" s="13" t="s">
        <v>124</v>
      </c>
      <c r="H7" s="13"/>
    </row>
    <row r="8" spans="1:8" ht="15" customHeight="1" x14ac:dyDescent="0.3">
      <c r="A8" s="13" t="s">
        <v>125</v>
      </c>
      <c r="B8" s="13" t="s">
        <v>115</v>
      </c>
      <c r="C8" s="13" t="s">
        <v>117</v>
      </c>
      <c r="D8" s="13" t="s">
        <v>117</v>
      </c>
      <c r="E8" s="25">
        <v>1</v>
      </c>
      <c r="F8" s="13" t="s">
        <v>121</v>
      </c>
      <c r="G8" s="13" t="s">
        <v>126</v>
      </c>
      <c r="H8" s="13"/>
    </row>
    <row r="9" spans="1:8" ht="15" customHeight="1" x14ac:dyDescent="0.3">
      <c r="A9" s="13" t="s">
        <v>127</v>
      </c>
      <c r="B9" s="13" t="s">
        <v>128</v>
      </c>
      <c r="C9" s="13" t="s">
        <v>117</v>
      </c>
      <c r="D9" s="13" t="s">
        <v>117</v>
      </c>
      <c r="E9" s="25">
        <v>0.9929</v>
      </c>
      <c r="F9" s="13" t="s">
        <v>121</v>
      </c>
      <c r="G9" s="13" t="s">
        <v>126</v>
      </c>
      <c r="H9" s="13" t="s">
        <v>129</v>
      </c>
    </row>
    <row r="10" spans="1:8" ht="15" customHeight="1" x14ac:dyDescent="0.3">
      <c r="A10" s="30" t="s">
        <v>130</v>
      </c>
      <c r="B10" s="30" t="s">
        <v>115</v>
      </c>
      <c r="C10" s="30" t="s">
        <v>117</v>
      </c>
      <c r="D10" s="30" t="s">
        <v>116</v>
      </c>
      <c r="E10" s="31">
        <v>0.6099</v>
      </c>
      <c r="F10" s="30" t="s">
        <v>118</v>
      </c>
      <c r="G10" s="30" t="s">
        <v>131</v>
      </c>
      <c r="H10" s="30"/>
    </row>
    <row r="11" spans="1:8" ht="15" customHeight="1" x14ac:dyDescent="0.3">
      <c r="A11" s="13" t="s">
        <v>132</v>
      </c>
      <c r="B11" s="13" t="s">
        <v>133</v>
      </c>
      <c r="C11" s="13" t="s">
        <v>134</v>
      </c>
      <c r="D11" s="13" t="s">
        <v>134</v>
      </c>
      <c r="E11" s="25">
        <v>0.85870000000000002</v>
      </c>
      <c r="F11" s="13" t="s">
        <v>121</v>
      </c>
      <c r="G11" s="13" t="s">
        <v>135</v>
      </c>
      <c r="H11" s="13" t="s">
        <v>136</v>
      </c>
    </row>
    <row r="12" spans="1:8" ht="15" customHeight="1" x14ac:dyDescent="0.3">
      <c r="A12" s="13" t="s">
        <v>137</v>
      </c>
      <c r="B12" s="13" t="s">
        <v>115</v>
      </c>
      <c r="C12" s="13" t="s">
        <v>134</v>
      </c>
      <c r="D12" s="13" t="s">
        <v>134</v>
      </c>
      <c r="E12" s="25">
        <v>0.99839999999999995</v>
      </c>
      <c r="F12" s="13" t="s">
        <v>121</v>
      </c>
      <c r="G12" s="13" t="s">
        <v>138</v>
      </c>
      <c r="H12" s="13"/>
    </row>
    <row r="13" spans="1:8" ht="15" customHeight="1" x14ac:dyDescent="0.3">
      <c r="A13" s="13" t="s">
        <v>139</v>
      </c>
      <c r="B13" s="13" t="s">
        <v>115</v>
      </c>
      <c r="C13" s="13" t="s">
        <v>134</v>
      </c>
      <c r="D13" s="13" t="s">
        <v>134</v>
      </c>
      <c r="E13" s="25">
        <v>0.99990000000000001</v>
      </c>
      <c r="F13" s="13" t="s">
        <v>121</v>
      </c>
      <c r="G13" s="13" t="s">
        <v>140</v>
      </c>
      <c r="H13" s="13" t="s">
        <v>141</v>
      </c>
    </row>
    <row r="14" spans="1:8" ht="15" customHeight="1" x14ac:dyDescent="0.3">
      <c r="A14" s="13" t="s">
        <v>142</v>
      </c>
      <c r="B14" s="13" t="s">
        <v>143</v>
      </c>
      <c r="C14" s="13" t="s">
        <v>117</v>
      </c>
      <c r="D14" s="13" t="s">
        <v>117</v>
      </c>
      <c r="E14" s="25">
        <v>0.99780000000000002</v>
      </c>
      <c r="F14" s="13" t="s">
        <v>121</v>
      </c>
      <c r="G14" s="13" t="s">
        <v>144</v>
      </c>
      <c r="H14" s="13"/>
    </row>
    <row r="15" spans="1:8" ht="15" customHeight="1" x14ac:dyDescent="0.3">
      <c r="A15" s="13" t="s">
        <v>145</v>
      </c>
      <c r="B15" s="13" t="s">
        <v>143</v>
      </c>
      <c r="C15" s="13" t="s">
        <v>117</v>
      </c>
      <c r="D15" s="13" t="s">
        <v>117</v>
      </c>
      <c r="E15" s="25">
        <v>0.99950000000000006</v>
      </c>
      <c r="F15" s="13" t="s">
        <v>121</v>
      </c>
      <c r="G15" s="13" t="s">
        <v>146</v>
      </c>
      <c r="H15" s="13" t="s">
        <v>147</v>
      </c>
    </row>
    <row r="16" spans="1:8" ht="15" customHeight="1" x14ac:dyDescent="0.3">
      <c r="A16" s="26" t="s">
        <v>148</v>
      </c>
      <c r="B16" s="26" t="s">
        <v>149</v>
      </c>
      <c r="C16" s="26" t="s">
        <v>150</v>
      </c>
      <c r="D16" s="26" t="s">
        <v>117</v>
      </c>
      <c r="E16" s="27">
        <v>0.97350000000000003</v>
      </c>
      <c r="F16" s="26" t="s">
        <v>151</v>
      </c>
      <c r="G16" s="26" t="s">
        <v>152</v>
      </c>
      <c r="H16" s="26"/>
    </row>
    <row r="18" spans="1:8" ht="15" customHeight="1" x14ac:dyDescent="0.3">
      <c r="A18" s="34" t="s">
        <v>153</v>
      </c>
      <c r="C18" s="13">
        <f>COUNTIF(F5:F15,"correct")</f>
        <v>9</v>
      </c>
    </row>
    <row r="19" spans="1:8" ht="15" customHeight="1" x14ac:dyDescent="0.3">
      <c r="A19" s="34" t="s">
        <v>154</v>
      </c>
      <c r="C19" s="13">
        <v>10</v>
      </c>
    </row>
    <row r="20" spans="1:8" ht="15" customHeight="1" x14ac:dyDescent="0.3">
      <c r="A20" s="34" t="s">
        <v>155</v>
      </c>
      <c r="C20" s="25">
        <f>AVERAGEIF(F5:F15,"correct",E5:E15)</f>
        <v>0.98299999999999998</v>
      </c>
    </row>
    <row r="21" spans="1:8" ht="15" customHeight="1" x14ac:dyDescent="0.3">
      <c r="A21" s="34" t="s">
        <v>156</v>
      </c>
      <c r="C21" s="25">
        <f>AVERAGEIF(F5:F15,"WRONG",E5:E15)</f>
        <v>0.61175000000000002</v>
      </c>
    </row>
    <row r="22" spans="1:8" ht="15" customHeight="1" x14ac:dyDescent="0.3">
      <c r="A22" s="34" t="s">
        <v>157</v>
      </c>
      <c r="C22" s="25">
        <f>C20-C21</f>
        <v>0.37124999999999997</v>
      </c>
    </row>
    <row r="24" spans="1:8" ht="39.75" customHeight="1" x14ac:dyDescent="0.3">
      <c r="A24" s="4" t="s">
        <v>158</v>
      </c>
      <c r="B24" s="4"/>
      <c r="C24" s="4"/>
      <c r="D24" s="4"/>
      <c r="E24" s="4"/>
      <c r="F24" s="4"/>
      <c r="G24" s="4"/>
      <c r="H24" s="4"/>
    </row>
    <row r="25" spans="1:8" ht="39.75" customHeight="1" x14ac:dyDescent="0.3">
      <c r="A25" s="4" t="s">
        <v>159</v>
      </c>
      <c r="B25" s="4"/>
      <c r="C25" s="4"/>
      <c r="D25" s="4"/>
      <c r="E25" s="4"/>
      <c r="F25" s="4"/>
      <c r="G25" s="4"/>
      <c r="H25" s="4"/>
    </row>
    <row r="26" spans="1:8" ht="39.75" customHeight="1" x14ac:dyDescent="0.3">
      <c r="A26" s="4" t="s">
        <v>160</v>
      </c>
      <c r="B26" s="4"/>
      <c r="C26" s="4"/>
      <c r="D26" s="4"/>
      <c r="E26" s="4"/>
      <c r="F26" s="4"/>
      <c r="G26" s="4"/>
      <c r="H26" s="4"/>
    </row>
    <row r="27" spans="1:8" ht="39.75" customHeight="1" x14ac:dyDescent="0.3">
      <c r="A27" s="4" t="s">
        <v>161</v>
      </c>
      <c r="B27" s="4"/>
      <c r="C27" s="4"/>
      <c r="D27" s="4"/>
      <c r="E27" s="4"/>
      <c r="F27" s="4"/>
      <c r="G27" s="4"/>
      <c r="H27" s="4"/>
    </row>
  </sheetData>
  <mergeCells count="5">
    <mergeCell ref="A2:H2"/>
    <mergeCell ref="A24:H24"/>
    <mergeCell ref="A25:H25"/>
    <mergeCell ref="A26:H26"/>
    <mergeCell ref="A27:H2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tabSelected="1" topLeftCell="A14" zoomScaleNormal="100" workbookViewId="0"/>
  </sheetViews>
  <sheetFormatPr defaultColWidth="8.6640625" defaultRowHeight="14.4" x14ac:dyDescent="0.3"/>
  <cols>
    <col min="1" max="1" width="30" customWidth="1"/>
    <col min="2" max="2" width="100" customWidth="1"/>
  </cols>
  <sheetData>
    <row r="1" spans="1:2" ht="15" customHeight="1" x14ac:dyDescent="0.3">
      <c r="A1" s="24" t="s">
        <v>162</v>
      </c>
    </row>
    <row r="3" spans="1:2" ht="45" customHeight="1" x14ac:dyDescent="0.3">
      <c r="A3" s="10" t="s">
        <v>163</v>
      </c>
      <c r="B3" s="29" t="s">
        <v>164</v>
      </c>
    </row>
    <row r="4" spans="1:2" ht="45" customHeight="1" x14ac:dyDescent="0.3">
      <c r="A4" s="37" t="s">
        <v>165</v>
      </c>
      <c r="B4" s="17" t="s">
        <v>166</v>
      </c>
    </row>
    <row r="5" spans="1:2" ht="75" customHeight="1" x14ac:dyDescent="0.3">
      <c r="A5" s="37" t="s">
        <v>167</v>
      </c>
      <c r="B5" s="17" t="s">
        <v>168</v>
      </c>
    </row>
    <row r="6" spans="1:2" ht="45" customHeight="1" x14ac:dyDescent="0.3">
      <c r="A6" s="37" t="s">
        <v>169</v>
      </c>
      <c r="B6" s="17" t="s">
        <v>170</v>
      </c>
    </row>
    <row r="7" spans="1:2" ht="45" customHeight="1" x14ac:dyDescent="0.3">
      <c r="A7" s="37" t="s">
        <v>171</v>
      </c>
      <c r="B7" s="17" t="s">
        <v>172</v>
      </c>
    </row>
    <row r="8" spans="1:2" ht="60" customHeight="1" x14ac:dyDescent="0.3">
      <c r="A8" s="37" t="s">
        <v>173</v>
      </c>
      <c r="B8" s="17" t="s">
        <v>174</v>
      </c>
    </row>
    <row r="9" spans="1:2" ht="45" customHeight="1" x14ac:dyDescent="0.3">
      <c r="A9" s="37" t="s">
        <v>175</v>
      </c>
      <c r="B9" s="17" t="s">
        <v>176</v>
      </c>
    </row>
    <row r="10" spans="1:2" ht="45" customHeight="1" x14ac:dyDescent="0.3">
      <c r="A10" s="37" t="s">
        <v>177</v>
      </c>
      <c r="B10" s="17" t="s">
        <v>178</v>
      </c>
    </row>
    <row r="11" spans="1:2" ht="45" customHeight="1" x14ac:dyDescent="0.3">
      <c r="A11" s="37" t="s">
        <v>21</v>
      </c>
      <c r="B11" s="17" t="s">
        <v>179</v>
      </c>
    </row>
    <row r="12" spans="1:2" ht="60" customHeight="1" x14ac:dyDescent="0.3">
      <c r="A12" s="10" t="s">
        <v>180</v>
      </c>
      <c r="B12" s="29" t="s">
        <v>181</v>
      </c>
    </row>
    <row r="13" spans="1:2" ht="60" customHeight="1" x14ac:dyDescent="0.3">
      <c r="A13" s="37" t="s">
        <v>182</v>
      </c>
      <c r="B13" s="17" t="s">
        <v>183</v>
      </c>
    </row>
    <row r="14" spans="1:2" ht="60" customHeight="1" x14ac:dyDescent="0.3">
      <c r="A14" s="37" t="s">
        <v>184</v>
      </c>
      <c r="B14" s="17" t="s">
        <v>185</v>
      </c>
    </row>
    <row r="15" spans="1:2" ht="90" customHeight="1" x14ac:dyDescent="0.3">
      <c r="A15" s="10" t="s">
        <v>186</v>
      </c>
      <c r="B15" s="29" t="s">
        <v>187</v>
      </c>
    </row>
    <row r="16" spans="1:2" ht="60" customHeight="1" x14ac:dyDescent="0.3">
      <c r="A16" s="10" t="s">
        <v>188</v>
      </c>
      <c r="B16" s="29" t="s">
        <v>189</v>
      </c>
    </row>
    <row r="17" spans="1:2" ht="60" customHeight="1" x14ac:dyDescent="0.3">
      <c r="A17" s="37" t="s">
        <v>190</v>
      </c>
      <c r="B17" s="17" t="s">
        <v>191</v>
      </c>
    </row>
    <row r="18" spans="1:2" ht="75" customHeight="1" x14ac:dyDescent="0.3">
      <c r="A18" s="10" t="s">
        <v>192</v>
      </c>
      <c r="B18" s="29" t="s">
        <v>193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FFBP Training Log</vt:lpstr>
      <vt:lpstr>Champion Evaluation</vt:lpstr>
      <vt:lpstr>PT-P1 Cross-Eval Detail</vt:lpstr>
      <vt:lpstr>Legend &amp;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PATANO CARL ANGELO</cp:lastModifiedBy>
  <cp:revision>0</cp:revision>
  <dcterms:created xsi:type="dcterms:W3CDTF">2026-08-02T12:50:00Z</dcterms:created>
  <dcterms:modified xsi:type="dcterms:W3CDTF">2026-08-08T15:46:06Z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0x01010047E56E1D33E1954A84570C0EA183705E</vt:lpwstr>
  </property>
</Properties>
</file>